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efact\DASHBOARD\data\"/>
    </mc:Choice>
  </mc:AlternateContent>
  <xr:revisionPtr revIDLastSave="0" documentId="13_ncr:1_{E17ED301-D3D2-4476-8B5E-EFB9E53C67C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onitoring" sheetId="1" r:id="rId1"/>
    <sheet name="PENCAPAIAN" sheetId="2" r:id="rId2"/>
    <sheet name="Monitoring Akumulatif " sheetId="3" r:id="rId3"/>
    <sheet name="Grafik akumulatif" sheetId="4" r:id="rId4"/>
    <sheet name="POTENSI 2025 DAN 2026" sheetId="5" r:id="rId5"/>
    <sheet name="PENAGIHAN" sheetId="6" r:id="rId6"/>
  </sheets>
  <calcPr calcId="181029"/>
</workbook>
</file>

<file path=xl/calcChain.xml><?xml version="1.0" encoding="utf-8"?>
<calcChain xmlns="http://schemas.openxmlformats.org/spreadsheetml/2006/main">
  <c r="D11" i="5" l="1"/>
  <c r="C26" i="4"/>
  <c r="C25" i="4"/>
  <c r="C21" i="4"/>
  <c r="D20" i="4"/>
  <c r="C20" i="4"/>
  <c r="C17" i="4"/>
  <c r="C16" i="4"/>
  <c r="F10" i="4"/>
  <c r="F9" i="4"/>
  <c r="E9" i="4"/>
  <c r="E20" i="4" s="1"/>
  <c r="F7" i="4"/>
  <c r="D21" i="4" s="1"/>
  <c r="D6" i="4"/>
  <c r="C9" i="4" s="1"/>
  <c r="E16" i="4" s="1"/>
  <c r="I65" i="3"/>
  <c r="H65" i="3"/>
  <c r="I8" i="3"/>
  <c r="H8" i="3"/>
  <c r="G8" i="3"/>
  <c r="G65" i="3" s="1"/>
  <c r="F8" i="3"/>
  <c r="F65" i="3" s="1"/>
  <c r="D20" i="2"/>
  <c r="D21" i="2" s="1"/>
  <c r="E21" i="2" s="1"/>
  <c r="C20" i="2"/>
  <c r="E20" i="2" s="1"/>
  <c r="D16" i="2"/>
  <c r="D17" i="2" s="1"/>
  <c r="E17" i="2" s="1"/>
  <c r="F6" i="2"/>
  <c r="F9" i="2" s="1"/>
  <c r="D6" i="2"/>
  <c r="C9" i="2" s="1"/>
  <c r="AF38" i="1"/>
  <c r="AD38" i="1"/>
  <c r="AC38" i="1"/>
  <c r="Z38" i="1"/>
  <c r="Y38" i="1"/>
  <c r="X38" i="1"/>
  <c r="W38" i="1"/>
  <c r="P38" i="1"/>
  <c r="H6" i="2" s="1"/>
  <c r="O38" i="1"/>
  <c r="L38" i="1"/>
  <c r="K38" i="1"/>
  <c r="H9" i="2" l="1"/>
  <c r="G9" i="2"/>
  <c r="H7" i="2"/>
  <c r="D25" i="2"/>
  <c r="D9" i="4"/>
  <c r="D9" i="2"/>
  <c r="D7" i="2"/>
  <c r="E16" i="2"/>
  <c r="F7" i="2"/>
  <c r="E9" i="2"/>
  <c r="H6" i="4"/>
  <c r="F13" i="4"/>
  <c r="F15" i="4" s="1"/>
  <c r="D7" i="4"/>
  <c r="D16" i="4"/>
  <c r="E10" i="4"/>
  <c r="E21" i="4" s="1"/>
  <c r="C10" i="2" l="1"/>
  <c r="D10" i="2"/>
  <c r="D26" i="2"/>
  <c r="E26" i="2" s="1"/>
  <c r="E25" i="2"/>
  <c r="D10" i="4"/>
  <c r="C10" i="4"/>
  <c r="E17" i="4" s="1"/>
  <c r="D17" i="4"/>
  <c r="H7" i="4"/>
  <c r="H9" i="4"/>
  <c r="G9" i="4"/>
  <c r="E25" i="4" s="1"/>
  <c r="D25" i="4"/>
  <c r="H10" i="2"/>
  <c r="G10" i="2"/>
  <c r="E10" i="2"/>
  <c r="F10" i="2"/>
  <c r="D26" i="4" l="1"/>
  <c r="H10" i="4"/>
  <c r="G10" i="4"/>
  <c r="E26" i="4" s="1"/>
</calcChain>
</file>

<file path=xl/sharedStrings.xml><?xml version="1.0" encoding="utf-8"?>
<sst xmlns="http://schemas.openxmlformats.org/spreadsheetml/2006/main" count="364" uniqueCount="171">
  <si>
    <t>NO</t>
  </si>
  <si>
    <t>Judul Pekerjaan</t>
  </si>
  <si>
    <t>Projeck</t>
  </si>
  <si>
    <t>User</t>
  </si>
  <si>
    <t>Proses
Kontrak</t>
  </si>
  <si>
    <t>Eksekutor</t>
  </si>
  <si>
    <t>DMR/TOR/
Spsifikasi</t>
  </si>
  <si>
    <t>LOI</t>
  </si>
  <si>
    <t>Nomor Informasi Harga Mitra</t>
  </si>
  <si>
    <t>IH Sebelum PPN</t>
  </si>
  <si>
    <t>IH Setelah PPN</t>
  </si>
  <si>
    <t>Undangan PL</t>
  </si>
  <si>
    <t>Kontrak IPS</t>
  </si>
  <si>
    <t>Nilai Kontrak Sebelum PPN (IPS)</t>
  </si>
  <si>
    <t>Nilai Kontrak Setelah PPN (IPS)</t>
  </si>
  <si>
    <t>Mulai Pekerjaan (tanggal)</t>
  </si>
  <si>
    <t>Berakhir Pekerjaan (tanggal)</t>
  </si>
  <si>
    <t>Addendum Kontrak</t>
  </si>
  <si>
    <t>Ket. Addendum</t>
  </si>
  <si>
    <t>BAST/TUG</t>
  </si>
  <si>
    <t>Invoice</t>
  </si>
  <si>
    <t>Nilai Invoice Sebelum PPN</t>
  </si>
  <si>
    <t>Nilai Invoice Setelah PPN</t>
  </si>
  <si>
    <t>DENDA</t>
  </si>
  <si>
    <t>PEMBAYARAN PIPS</t>
  </si>
  <si>
    <t>Nama Vendor</t>
  </si>
  <si>
    <t>Nomor Kontrak Vendor</t>
  </si>
  <si>
    <t>Nilai Kontrak
Mitra Sebelum PPN</t>
  </si>
  <si>
    <t>Nilai Kontrak
Mitra Setelah PPN</t>
  </si>
  <si>
    <t>BA Vendor</t>
  </si>
  <si>
    <t>Nilai BA Vendor Setelah PPN</t>
  </si>
  <si>
    <t>DENDA2</t>
  </si>
  <si>
    <t>PEMBAYARAN MITRA</t>
  </si>
  <si>
    <t>MARGIN</t>
  </si>
  <si>
    <t>Kendala</t>
  </si>
  <si>
    <t>Periode Penagihan</t>
  </si>
  <si>
    <t>STATUS</t>
  </si>
  <si>
    <t>STATUS PEMBAYARAN</t>
  </si>
  <si>
    <t>SEMESTER I</t>
  </si>
  <si>
    <t>IPS</t>
  </si>
  <si>
    <t>EP</t>
  </si>
  <si>
    <t>TERKONTRAK IP</t>
  </si>
  <si>
    <t>MITRA</t>
  </si>
  <si>
    <t>JASA SEWA ALAT BERAT TAHUN 2026 (JANUARI)</t>
  </si>
  <si>
    <t>041/PJ/1/IPS/2025</t>
  </si>
  <si>
    <t>004.BAST/631/JRJEP/2026</t>
  </si>
  <si>
    <t>PT CANDRA WIJAYA UTAMA</t>
  </si>
  <si>
    <t>004.BAPP/631/JRJEP/2026</t>
  </si>
  <si>
    <t>SELESAI</t>
  </si>
  <si>
    <t>PAYMENT</t>
  </si>
  <si>
    <t>JASA SEWA ALAT BERAT TAHUN 2026 (FEBRUARI)</t>
  </si>
  <si>
    <t>008.BAST/631/JRJEP/2026</t>
  </si>
  <si>
    <t>008.BAPP/631/JRJEP/2026</t>
  </si>
  <si>
    <t>JASA SEWA ALAT BERAT TAHUN 2026 (MARET)</t>
  </si>
  <si>
    <t>013.BAPP/631/JRJEP/2026</t>
  </si>
  <si>
    <t>JASA SEWA ALAT BERAT TAHUN 2026 (APRIL)</t>
  </si>
  <si>
    <t>020.BAPP/631/JRJEP/2026</t>
  </si>
  <si>
    <t>JASA SEWA ALAT BERAT TAHUN 2026 (MEI)</t>
  </si>
  <si>
    <t>JASA SEWA ALAT BERAT TAHUN 2026 (JUNI)</t>
  </si>
  <si>
    <t>JASA SEWA ALAT BERAT TAHUN 2026 (JULI)</t>
  </si>
  <si>
    <t>JASA SEWA ALAT BERAT TAHUN 2026 (AGUSTUS)</t>
  </si>
  <si>
    <t>MENUNGGU BA TTD DARI MITRA</t>
  </si>
  <si>
    <t>PROSES</t>
  </si>
  <si>
    <t>JASA SEWA ALAT BERAT TAHUN 2026 (SEPTEMBER)</t>
  </si>
  <si>
    <t>JASA SEWA ALAT BERAT TAHUN 2026 (OKTOBER)</t>
  </si>
  <si>
    <t>JASA SEWA ALAT BERAT TAHUN 2026 (NOVEMBER)</t>
  </si>
  <si>
    <t>JASA SEWA ALAT BERAT TAHUN 2026 (DESEMBER)</t>
  </si>
  <si>
    <t>JASA ANNUAL INSPECTION MCC CABINET ASH HANDLING UNIT 2 UBP JERANJANG TAHUN 2026</t>
  </si>
  <si>
    <t>IPS/MRO</t>
  </si>
  <si>
    <t>MRO</t>
  </si>
  <si>
    <t>011.UND/DAN.01.02/JRJ/2026</t>
  </si>
  <si>
    <t>0004.PJ/DAN.01.02/PLNIP210000/2026</t>
  </si>
  <si>
    <t>14 hari kalender</t>
  </si>
  <si>
    <t>JASA PM CRANE UNIT 1 DAN 2 UBP JERANJANG</t>
  </si>
  <si>
    <t>HAR</t>
  </si>
  <si>
    <t xml:space="preserve"> 035.BAPP/631/JRJH/2026
(03 Juli 2026)</t>
  </si>
  <si>
    <t>PT SINERGI ADI PRATAMA</t>
  </si>
  <si>
    <t>PROSES PAYMENT DI KEU UNIT IP</t>
  </si>
  <si>
    <t>PENGADAAN MATERIAL INSTRUMENT UBP JERANJANG TAHUN 2026</t>
  </si>
  <si>
    <t>CANCEL</t>
  </si>
  <si>
    <t xml:space="preserve"> JASA PERBAIKAN FLUID COUPLING DAN POMPA BFP</t>
  </si>
  <si>
    <t>KSO MATRA</t>
  </si>
  <si>
    <t>1. Menunggu BA dari user (laporan pekerjaan sudah di mba desi)</t>
  </si>
  <si>
    <t>PENGADAAN MATERIAL POMP IWP DAN HPP UNIT 12</t>
  </si>
  <si>
    <t>30 Hari kalender</t>
  </si>
  <si>
    <t>PT GROUNDFOUS</t>
  </si>
  <si>
    <t>219.1/SPB/01/PIPS/2025</t>
  </si>
  <si>
    <t>1. Menunggu BA dari tim Mas reza dibuatkan surat ke subcon terkait garansi
2. Laporan Pekerjaan di user untuk (pembuatan BA)</t>
  </si>
  <si>
    <t>JASA ANNUAL INSPEKTION BC ENERGI PRIMER PLTU JERANJANG TAHUN 2026</t>
  </si>
  <si>
    <t>MENUNGGU PELAKSANAAN</t>
  </si>
  <si>
    <t>0984/DAN.01.02/PIPS040000/2026</t>
  </si>
  <si>
    <t>1. Menunggu Arahan dari user untuk pelaksanaan
2. IH sudah di berikan ke user</t>
  </si>
  <si>
    <t>PENGADAAN JASA REHABILITASI CCM SULZER 12 ZV 40/48 UNIT #2 ULPLTD AMPENAN PT PLN (PERSERO) UNIT INDUK WILAYAH NTB</t>
  </si>
  <si>
    <t>PLN</t>
  </si>
  <si>
    <t>40 hari kalender</t>
  </si>
  <si>
    <t>PT PLN IPS</t>
  </si>
  <si>
    <t>0025.PJ/DAN.01.03/F19040000/2025</t>
  </si>
  <si>
    <t>PENGADAAN SLAG CONTROL AND CORROSION INHIBITION ADDITIVE; BULK DENSITY:1121 KG/M3, POWDER WITH MAGNESIUM ACTIVE INGREDIENTS, KEMASAN @15 KG/PAIL</t>
  </si>
  <si>
    <t>OPERASI</t>
  </si>
  <si>
    <t>WAITHING</t>
  </si>
  <si>
    <t>PENGADAAN MATERIAL TUBE PEMELIHARAAN AREA TURBINE TAHUN 2026</t>
  </si>
  <si>
    <t>PT RIZA UTAMA TEKNIK</t>
  </si>
  <si>
    <t>1. MENUNGGU KONTRAK ASLI DARI HO
2. PROSES PEMASUKAN DOKUMEN KE PBJ</t>
  </si>
  <si>
    <t>JASA PEKERJAAN LANTAI RUANGAN K3 UBP JERANJANG</t>
  </si>
  <si>
    <t>K3</t>
  </si>
  <si>
    <t>PT SANYON BAGUN LESTARI</t>
  </si>
  <si>
    <t>PROSES PERMINTAAN PH DARI MITRA</t>
  </si>
  <si>
    <t>JASA PERBAIKAN WINDBOX HSB UNIT 1 UBP JERAJANG TAHUN 2026</t>
  </si>
  <si>
    <t>ON PROSES</t>
  </si>
  <si>
    <t>0125.SPK/DAN.01.02/PLNIP210000/2026
(04 September 2026)</t>
  </si>
  <si>
    <t>20 (Dua Puluh) hari kalender sejak diterbitkan Surat Perintah Mulai Kerja (SPMK)</t>
  </si>
  <si>
    <t>31 Desember 2026.</t>
  </si>
  <si>
    <t>PT ASA BATUR LOMBOK</t>
  </si>
  <si>
    <t>1. Menunggu Kontrak di ttd di PBJ dan MU
2. ijin permit (menunggu dok lengkap dari mitra)</t>
  </si>
  <si>
    <t>PENGADAAN BAHAN KIMIA UBP JERANJANG</t>
  </si>
  <si>
    <t>PT MINDOR</t>
  </si>
  <si>
    <t>MENUNGGU PELAKSANAAN DARI USER</t>
  </si>
  <si>
    <t>MENUNGGU INFO USER</t>
  </si>
  <si>
    <t>TOTAL</t>
  </si>
  <si>
    <t>TARGET TAHUN 2026</t>
  </si>
  <si>
    <t>REALISASI TAHUN 2026</t>
  </si>
  <si>
    <t>TARGET SMESTER 1</t>
  </si>
  <si>
    <t>Pencapaian s.d Juli 2026</t>
  </si>
  <si>
    <t>TARGET SMESTER 2</t>
  </si>
  <si>
    <t>Pencapaian s.d Desember 2026</t>
  </si>
  <si>
    <t>DEVIASI</t>
  </si>
  <si>
    <t>REALISASI</t>
  </si>
  <si>
    <t>Pencapaian Smester 2  s.d Desember 2025</t>
  </si>
  <si>
    <t>Target 2026</t>
  </si>
  <si>
    <t>Realisasi 2026</t>
  </si>
  <si>
    <t>Deviasi</t>
  </si>
  <si>
    <t>Target Semester 1</t>
  </si>
  <si>
    <t>Pencapaian Smester 1</t>
  </si>
  <si>
    <t>Target Semester 2</t>
  </si>
  <si>
    <t>Pencapaian Smester 2</t>
  </si>
  <si>
    <t xml:space="preserve">Kontrak </t>
  </si>
  <si>
    <t>Nilai Kontrak Setelah PPN</t>
  </si>
  <si>
    <t>Kontrak Vendor</t>
  </si>
  <si>
    <t>JASA SEWA ALAT BERAT TAHUN 2026</t>
  </si>
  <si>
    <t>TERKONTRAK</t>
  </si>
  <si>
    <t>KSO IPS</t>
  </si>
  <si>
    <t>PROSES PEKERJAAN</t>
  </si>
  <si>
    <t>2086/DAN.01.01/PIPS/040000/2025</t>
  </si>
  <si>
    <t>KUMULATIF 2025</t>
  </si>
  <si>
    <t>Pencapaian s.d Juni 2026</t>
  </si>
  <si>
    <t>Pencapaian s.d September 2026</t>
  </si>
  <si>
    <t>Pencapaian s.d September 2025</t>
  </si>
  <si>
    <t>Realisasi 2025</t>
  </si>
  <si>
    <t>POTENSI PENDAPATAN</t>
  </si>
  <si>
    <t>JUDUL</t>
  </si>
  <si>
    <t>POTENSI NILAI</t>
  </si>
  <si>
    <t>PERIODE</t>
  </si>
  <si>
    <t>JASA SEWA ALAT BERAT 2026</t>
  </si>
  <si>
    <t xml:space="preserve">PENGADAAN BAHAN KIMIA </t>
  </si>
  <si>
    <t>JASA ANNUAL INPECTION COAL HANDLING UBP JERANJANG TAHUN 2026</t>
  </si>
  <si>
    <t>INDUSTRIAL CLEANING ISS</t>
  </si>
  <si>
    <t>JASA PREVENTIVE MAINTANANCE SERVICE PERIODIC OHC TAHUN 2026</t>
  </si>
  <si>
    <t xml:space="preserve">PENGADAAN MEMBRANE CATRIDGE FILTER </t>
  </si>
  <si>
    <t>A</t>
  </si>
  <si>
    <t>DOK KE AFNI (PENERBITAN SURAT PERMOHONAN, INVOICE)</t>
  </si>
  <si>
    <t>1. BAPP DAN BAST (DARI USER)</t>
  </si>
  <si>
    <t>2. KONTRAK SUDAH DI SIGN</t>
  </si>
  <si>
    <t>3. DI EMAIL KALAU SUDAH LENGKAP</t>
  </si>
  <si>
    <t>B</t>
  </si>
  <si>
    <t>DOK DARI ANNAS / FITRIA (PENERBITAN DOK )</t>
  </si>
  <si>
    <t>1. BAST DAN BAPP DARI USER (UNTUK TTD DIREKSI DAN KEMBALI LAGI KE UNIT)</t>
  </si>
  <si>
    <t>2. SURAT PERNYATAAN GARANSI MATERIAL (100%)</t>
  </si>
  <si>
    <t>C</t>
  </si>
  <si>
    <t>DOK KE GUDANG</t>
  </si>
  <si>
    <t>1. ASLI SURAT PERNYATAAN KEASLIAN</t>
  </si>
  <si>
    <t>PERKAJAAN GEDUNG SAFETY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</si>
</sst>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[$Rp-421]* #,##0_);_([$Rp-421]* \(#,##0\);_([$Rp-421]* &quot;-&quot;??_);_(@_)"/>
    <numFmt numFmtId="166" formatCode="_-[$Rp-421]* #,##0_-;\-[$Rp-421]* #,##0_-;_-[$Rp-421]* &quot;-&quot;??_-;_-@_-"/>
    <numFmt numFmtId="167" formatCode="_-[$Rp-421]* #,##0_-;\-[$Rp-421]* #,##0_-;_-[$Rp-421]* &quot;-&quot;_-;_-@_-"/>
    <numFmt numFmtId="168" formatCode="_-[$Rp-421]* #,##0.00_-;\-[$Rp-421]* #,##0.00_-;_-[$Rp-421]* &quot;-&quot;??_-;_-@_-"/>
    <numFmt numFmtId="169" formatCode="_-[$Rp-3809]* #,##0_-;\-[$Rp-3809]* #,##0_-;_-[$Rp-3809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b/>
      <strike/>
      <sz val="12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6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165" fontId="2" fillId="2" borderId="5" xfId="1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2" fillId="2" borderId="3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7" fontId="8" fillId="2" borderId="3" xfId="2" applyNumberFormat="1" applyFont="1" applyFill="1" applyBorder="1" applyAlignment="1">
      <alignment horizontal="center" wrapText="1"/>
    </xf>
    <xf numFmtId="9" fontId="0" fillId="2" borderId="3" xfId="3" applyFont="1" applyFill="1" applyBorder="1" applyAlignment="1">
      <alignment horizontal="center" wrapText="1"/>
    </xf>
    <xf numFmtId="167" fontId="0" fillId="6" borderId="3" xfId="0" applyNumberFormat="1" applyFill="1" applyBorder="1" applyAlignment="1">
      <alignment horizontal="center" wrapText="1"/>
    </xf>
    <xf numFmtId="167" fontId="8" fillId="4" borderId="3" xfId="2" applyNumberFormat="1" applyFont="1" applyFill="1" applyBorder="1" applyAlignment="1">
      <alignment horizontal="center" wrapText="1"/>
    </xf>
    <xf numFmtId="9" fontId="0" fillId="4" borderId="3" xfId="3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166" fontId="2" fillId="2" borderId="6" xfId="1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167" fontId="0" fillId="2" borderId="3" xfId="0" applyNumberFormat="1" applyFill="1" applyBorder="1" applyAlignment="1">
      <alignment horizontal="center" wrapText="1"/>
    </xf>
    <xf numFmtId="9" fontId="0" fillId="2" borderId="3" xfId="0" applyNumberFormat="1" applyFill="1" applyBorder="1" applyAlignment="1">
      <alignment horizontal="center" wrapText="1"/>
    </xf>
    <xf numFmtId="165" fontId="0" fillId="0" borderId="0" xfId="0" applyNumberFormat="1"/>
    <xf numFmtId="167" fontId="8" fillId="2" borderId="15" xfId="2" applyNumberFormat="1" applyFont="1" applyFill="1" applyBorder="1" applyAlignment="1">
      <alignment horizontal="center" wrapText="1"/>
    </xf>
    <xf numFmtId="9" fontId="0" fillId="6" borderId="3" xfId="3" applyFont="1" applyFill="1" applyBorder="1" applyAlignment="1">
      <alignment horizontal="center" wrapText="1"/>
    </xf>
    <xf numFmtId="167" fontId="0" fillId="5" borderId="3" xfId="3" applyNumberFormat="1" applyFont="1" applyFill="1" applyBorder="1" applyAlignment="1">
      <alignment horizontal="center" wrapText="1"/>
    </xf>
    <xf numFmtId="9" fontId="8" fillId="5" borderId="3" xfId="3" applyFont="1" applyFill="1" applyBorder="1" applyAlignment="1">
      <alignment horizontal="center" wrapText="1"/>
    </xf>
    <xf numFmtId="9" fontId="8" fillId="6" borderId="4" xfId="3" applyFont="1" applyFill="1" applyBorder="1" applyAlignment="1">
      <alignment horizontal="center" wrapText="1"/>
    </xf>
    <xf numFmtId="167" fontId="0" fillId="0" borderId="0" xfId="0" applyNumberFormat="1"/>
    <xf numFmtId="165" fontId="3" fillId="2" borderId="0" xfId="1" applyNumberFormat="1" applyFont="1" applyFill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 wrapText="1"/>
    </xf>
    <xf numFmtId="168" fontId="3" fillId="2" borderId="0" xfId="0" applyNumberFormat="1" applyFont="1" applyFill="1" applyAlignment="1">
      <alignment horizontal="center" vertical="center"/>
    </xf>
    <xf numFmtId="168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65" fontId="7" fillId="2" borderId="0" xfId="1" applyNumberFormat="1" applyFont="1" applyFill="1" applyAlignment="1">
      <alignment horizontal="center" vertical="center" wrapText="1"/>
    </xf>
    <xf numFmtId="165" fontId="6" fillId="2" borderId="0" xfId="1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6" fontId="2" fillId="2" borderId="0" xfId="1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0" fontId="0" fillId="2" borderId="3" xfId="3" applyNumberFormat="1" applyFont="1" applyFill="1" applyBorder="1" applyAlignment="1">
      <alignment horizontal="center" wrapText="1"/>
    </xf>
    <xf numFmtId="10" fontId="0" fillId="2" borderId="3" xfId="0" applyNumberFormat="1" applyFill="1" applyBorder="1" applyAlignment="1">
      <alignment horizontal="center" wrapText="1"/>
    </xf>
    <xf numFmtId="0" fontId="0" fillId="0" borderId="0" xfId="0" applyAlignment="1">
      <alignment wrapText="1"/>
    </xf>
    <xf numFmtId="167" fontId="8" fillId="2" borderId="3" xfId="2" applyNumberFormat="1" applyFont="1" applyFill="1" applyBorder="1" applyAlignment="1">
      <alignment horizontal="center" vertical="center" wrapText="1"/>
    </xf>
    <xf numFmtId="167" fontId="8" fillId="2" borderId="6" xfId="2" applyNumberFormat="1" applyFont="1" applyFill="1" applyBorder="1" applyAlignment="1">
      <alignment horizontal="center" vertical="center" wrapText="1"/>
    </xf>
    <xf numFmtId="167" fontId="8" fillId="2" borderId="4" xfId="2" applyNumberFormat="1" applyFont="1" applyFill="1" applyBorder="1" applyAlignment="1">
      <alignment horizontal="center" vertical="center" wrapText="1"/>
    </xf>
    <xf numFmtId="0" fontId="0" fillId="4" borderId="23" xfId="0" applyFill="1" applyBorder="1" applyAlignment="1">
      <alignment wrapText="1"/>
    </xf>
    <xf numFmtId="167" fontId="8" fillId="0" borderId="13" xfId="0" applyNumberFormat="1" applyFont="1" applyBorder="1"/>
    <xf numFmtId="0" fontId="0" fillId="0" borderId="14" xfId="0" applyBorder="1"/>
    <xf numFmtId="0" fontId="0" fillId="0" borderId="19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8" fillId="4" borderId="2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8" fillId="0" borderId="0" xfId="3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165" fontId="3" fillId="2" borderId="21" xfId="1" applyNumberFormat="1" applyFont="1" applyFill="1" applyBorder="1" applyAlignment="1">
      <alignment horizontal="center" vertical="center" wrapText="1"/>
    </xf>
    <xf numFmtId="164" fontId="3" fillId="2" borderId="21" xfId="0" applyNumberFormat="1" applyFont="1" applyFill="1" applyBorder="1" applyAlignment="1">
      <alignment horizontal="center" vertical="center" wrapText="1"/>
    </xf>
    <xf numFmtId="165" fontId="3" fillId="4" borderId="21" xfId="1" applyNumberFormat="1" applyFont="1" applyFill="1" applyBorder="1" applyAlignment="1">
      <alignment horizontal="center" vertical="center" wrapText="1"/>
    </xf>
    <xf numFmtId="49" fontId="3" fillId="2" borderId="21" xfId="1" applyNumberFormat="1" applyFont="1" applyFill="1" applyBorder="1" applyAlignment="1">
      <alignment horizontal="center" vertical="center" wrapText="1"/>
    </xf>
    <xf numFmtId="165" fontId="3" fillId="2" borderId="21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4" fontId="3" fillId="2" borderId="21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9" fontId="4" fillId="4" borderId="21" xfId="1" applyNumberFormat="1" applyFont="1" applyFill="1" applyBorder="1" applyAlignment="1">
      <alignment horizontal="center" vertical="center" wrapText="1"/>
    </xf>
    <xf numFmtId="169" fontId="4" fillId="4" borderId="21" xfId="2" applyNumberFormat="1" applyFont="1" applyFill="1" applyBorder="1" applyAlignment="1">
      <alignment horizontal="center" vertical="center" wrapText="1"/>
    </xf>
    <xf numFmtId="165" fontId="3" fillId="2" borderId="17" xfId="1" applyNumberFormat="1" applyFont="1" applyFill="1" applyBorder="1" applyAlignment="1">
      <alignment horizontal="center" vertical="center" wrapText="1"/>
    </xf>
    <xf numFmtId="165" fontId="2" fillId="4" borderId="28" xfId="1" applyNumberFormat="1" applyFont="1" applyFill="1" applyBorder="1" applyAlignment="1">
      <alignment horizontal="center" vertical="center" wrapText="1"/>
    </xf>
    <xf numFmtId="165" fontId="2" fillId="2" borderId="28" xfId="1" applyNumberFormat="1" applyFont="1" applyFill="1" applyBorder="1" applyAlignment="1">
      <alignment horizontal="center" vertical="center" wrapText="1"/>
    </xf>
    <xf numFmtId="165" fontId="2" fillId="2" borderId="29" xfId="1" applyNumberFormat="1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1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20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2" fillId="4" borderId="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8" fillId="0" borderId="0" xfId="0" applyFont="1" applyAlignment="1">
      <alignment horizontal="center"/>
    </xf>
    <xf numFmtId="0" fontId="0" fillId="0" borderId="0" xfId="0"/>
    <xf numFmtId="0" fontId="8" fillId="7" borderId="23" xfId="0" applyFont="1" applyFill="1" applyBorder="1" applyAlignment="1">
      <alignment horizontal="center" vertical="center"/>
    </xf>
    <xf numFmtId="0" fontId="0" fillId="0" borderId="36" xfId="0" applyBorder="1"/>
    <xf numFmtId="0" fontId="8" fillId="0" borderId="0" xfId="0" applyFont="1" applyAlignment="1">
      <alignment horizontal="left"/>
    </xf>
    <xf numFmtId="0" fontId="8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1" defaultTableStyle="TableStyleMedium2" defaultPivotStyle="PivotStyleLight16">
    <tableStyle name="PivotTable Styl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TAHUN 2026</a:t>
            </a:r>
            <a:endParaRPr lang="en-US" sz="1600" b="1"/>
          </a:p>
        </c:rich>
      </c:tx>
      <c:layout>
        <c:manualLayout>
          <c:xMode val="edge"/>
          <c:yMode val="edge"/>
          <c:x val="0.30324443817791791"/>
          <c:y val="6.0059715722483559E-2"/>
        </c:manualLayout>
      </c:layout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4785748475962264E-2"/>
          <c:y val="0.32481814614149912"/>
          <c:w val="0.79056752470584979"/>
          <c:h val="0.44852630677054328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20E7-4BAF-8531-DD090D1ED0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20E7-4BAF-8531-DD090D1ED09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0E7-4BAF-8531-DD090D1ED09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PENCAPAIAN!$C$9:$D$9</c:f>
              <c:numCache>
                <c:formatCode>_-[$Rp-421]* #,##0_-;\-[$Rp-421]* #,##0_-;_-[$Rp-421]* "-"_-;_-@_-</c:formatCode>
                <c:ptCount val="2"/>
                <c:pt idx="0">
                  <c:v>7381277924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E7-4BAF-8531-DD090D1ED09E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20E7-4BAF-8531-DD090D1ED0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20E7-4BAF-8531-DD090D1ED09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PENCAPAIAN!$C$10:$D$10</c:f>
              <c:numCache>
                <c:formatCode>0%</c:formatCode>
                <c:ptCount val="2"/>
                <c:pt idx="0">
                  <c:v>-0.30755324683333329</c:v>
                </c:pt>
                <c:pt idx="1">
                  <c:v>0.69244675316666671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E7-4BAF-8531-DD090D1ED0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Semester 1 s.d Juni 2026</a:t>
            </a:r>
            <a:endParaRPr lang="en-US" sz="12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12956746417011"/>
          <c:y val="0.29154567622241639"/>
          <c:w val="0.8044624349885473"/>
          <c:h val="0.43854727729764359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5592-4556-8024-2B4E1C8C84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5592-4556-8024-2B4E1C8C840F}"/>
              </c:ext>
            </c:extLst>
          </c:dPt>
          <c:dLbls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592-4556-8024-2B4E1C8C840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PENCAPAIAN!$E$8:$F$8</c:f>
              <c:strCache>
                <c:ptCount val="2"/>
                <c:pt idx="0">
                  <c:v>DEVIASI</c:v>
                </c:pt>
                <c:pt idx="1">
                  <c:v>Pencapaian s.d Juli 2026</c:v>
                </c:pt>
              </c:strCache>
            </c:strRef>
          </c:cat>
          <c:val>
            <c:numRef>
              <c:f>PENCAPAIAN!$E$9:$F$9</c:f>
              <c:numCache>
                <c:formatCode>_-[$Rp-421]* #,##0_-;\-[$Rp-421]* #,##0_-;_-[$Rp-421]* "-"_-;_-@_-</c:formatCode>
                <c:ptCount val="2"/>
                <c:pt idx="0">
                  <c:v>3518722076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92-4556-8024-2B4E1C8C840F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5592-4556-8024-2B4E1C8C84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5592-4556-8024-2B4E1C8C840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PENCAPAIAN!$E$8:$F$8</c:f>
              <c:strCache>
                <c:ptCount val="2"/>
                <c:pt idx="0">
                  <c:v>DEVIASI</c:v>
                </c:pt>
                <c:pt idx="1">
                  <c:v>Pencapaian s.d Juli 2026</c:v>
                </c:pt>
              </c:strCache>
            </c:strRef>
          </c:cat>
          <c:val>
            <c:numRef>
              <c:f>PENCAPAIAN!$E$10:$F$10</c:f>
              <c:numCache>
                <c:formatCode>0%</c:formatCode>
                <c:ptCount val="2"/>
                <c:pt idx="0">
                  <c:v>0.26860473862595424</c:v>
                </c:pt>
                <c:pt idx="1">
                  <c:v>1.2686047386259542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92-4556-8024-2B4E1C8C84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> Target Semester 2 s.d Desember 2026</a:t>
            </a:r>
            <a:endParaRPr lang="en-US" sz="12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D722-404F-80ED-C926FC1568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D722-404F-80ED-C926FC15683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PENCAPAIAN!$G$8:$H$8</c:f>
              <c:strCache>
                <c:ptCount val="2"/>
                <c:pt idx="0">
                  <c:v>DEVIASI</c:v>
                </c:pt>
                <c:pt idx="1">
                  <c:v>Pencapaian Smester 2  s.d Desember 2025</c:v>
                </c:pt>
              </c:strCache>
            </c:strRef>
          </c:cat>
          <c:val>
            <c:numRef>
              <c:f>PENCAPAIAN!$G$9:$H$9</c:f>
              <c:numCache>
                <c:formatCode>_-[$Rp-421]* #,##0_-;\-[$Rp-421]* #,##0_-;_-[$Rp-421]* "-"_-;_-@_-</c:formatCode>
                <c:ptCount val="2"/>
                <c:pt idx="0">
                  <c:v>5991277924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22-404F-80ED-C926FC15683D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D722-404F-80ED-C926FC1568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D722-404F-80ED-C926FC15683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PENCAPAIAN!$G$8:$H$8</c:f>
              <c:strCache>
                <c:ptCount val="2"/>
                <c:pt idx="0">
                  <c:v>DEVIASI</c:v>
                </c:pt>
                <c:pt idx="1">
                  <c:v>Pencapaian Smester 2  s.d Desember 2025</c:v>
                </c:pt>
              </c:strCache>
            </c:strRef>
          </c:cat>
          <c:val>
            <c:numRef>
              <c:f>PENCAPAIAN!$G$10:$H$10</c:f>
              <c:numCache>
                <c:formatCode>0%</c:formatCode>
                <c:ptCount val="2"/>
                <c:pt idx="0">
                  <c:v>-0.26498354374170718</c:v>
                </c:pt>
                <c:pt idx="1">
                  <c:v>0.73501645625829282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22-404F-80ED-C926FC1568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TARGET 2026</a:t>
            </a:r>
            <a:endParaRPr lang="en-US" sz="1600" b="1"/>
          </a:p>
        </c:rich>
      </c:tx>
      <c:layout>
        <c:manualLayout>
          <c:xMode val="edge"/>
          <c:yMode val="edge"/>
          <c:x val="0.28400235020530712"/>
          <c:y val="5.3838007127544392E-2"/>
        </c:manualLayout>
      </c:layout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823426755032931"/>
          <c:y val="0.28938671595297388"/>
          <c:w val="0.79056752470584979"/>
          <c:h val="0.44852630677054328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A906-4CFC-8094-9EB5F9F9EB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A906-4CFC-8094-9EB5F9F9EB9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'Grafik akumulatif'!$C$9:$D$9</c:f>
              <c:numCache>
                <c:formatCode>_-[$Rp-421]* #,##0_-;\-[$Rp-421]* #,##0_-;_-[$Rp-421]* "-"_-;_-@_-</c:formatCode>
                <c:ptCount val="2"/>
                <c:pt idx="0">
                  <c:v>6777031764</c:v>
                </c:pt>
                <c:pt idx="1">
                  <c:v>17222968236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6-4CFC-8094-9EB5F9F9EB96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A906-4CFC-8094-9EB5F9F9EB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A906-4CFC-8094-9EB5F9F9EB9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'Grafik akumulatif'!$C$10:$D$10</c:f>
              <c:numCache>
                <c:formatCode>0%</c:formatCode>
                <c:ptCount val="2"/>
                <c:pt idx="0">
                  <c:v>-0.28237632349999997</c:v>
                </c:pt>
                <c:pt idx="1">
                  <c:v>0.71762367650000003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06-4CFC-8094-9EB5F9F9EB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Smester 1 s.d Juli 2026</a:t>
            </a:r>
            <a:endParaRPr lang="en-US" sz="12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12956746417011"/>
          <c:y val="0.29154567622241639"/>
          <c:w val="0.8044624349885473"/>
          <c:h val="0.43854727729764359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FE5C-4C9C-8101-77CE831F5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FE5C-4C9C-8101-77CE831F56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akumulatif'!$E$8:$F$8</c:f>
              <c:strCache>
                <c:ptCount val="2"/>
                <c:pt idx="0">
                  <c:v>DEVIASI</c:v>
                </c:pt>
                <c:pt idx="1">
                  <c:v>Pencapaian s.d Juni 2026</c:v>
                </c:pt>
              </c:strCache>
            </c:strRef>
          </c:cat>
          <c:val>
            <c:numRef>
              <c:f>'Grafik akumulatif'!$E$9:$F$9</c:f>
              <c:numCache>
                <c:formatCode>_-[$Rp-421]* #,##0_-;\-[$Rp-421]* #,##0_-;_-[$Rp-421]* "-"_-;_-@_-</c:formatCode>
                <c:ptCount val="2"/>
                <c:pt idx="0">
                  <c:v>9190502756</c:v>
                </c:pt>
                <c:pt idx="1">
                  <c:v>22290502756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5C-4C9C-8101-77CE831F56DC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FE5C-4C9C-8101-77CE831F5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FE5C-4C9C-8101-77CE831F56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akumulatif'!$E$8:$F$8</c:f>
              <c:strCache>
                <c:ptCount val="2"/>
                <c:pt idx="0">
                  <c:v>DEVIASI</c:v>
                </c:pt>
                <c:pt idx="1">
                  <c:v>Pencapaian s.d Juni 2026</c:v>
                </c:pt>
              </c:strCache>
            </c:strRef>
          </c:cat>
          <c:val>
            <c:numRef>
              <c:f>'Grafik akumulatif'!$E$10:$F$10</c:f>
              <c:numCache>
                <c:formatCode>0%</c:formatCode>
                <c:ptCount val="2"/>
                <c:pt idx="0">
                  <c:v>0.70156509587786253</c:v>
                </c:pt>
                <c:pt idx="1">
                  <c:v>1.7015650958778625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5C-4C9C-8101-77CE831F56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> Pencapaian smester 2 s.d September 2026</a:t>
            </a:r>
            <a:endParaRPr lang="en-US" sz="1200" b="1"/>
          </a:p>
        </c:rich>
      </c:tx>
      <c:layout>
        <c:manualLayout>
          <c:xMode val="edge"/>
          <c:yMode val="edge"/>
          <c:x val="0.1549466992747876"/>
          <c:y val="3.655345967462624E-2"/>
        </c:manualLayout>
      </c:layout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783515358601071"/>
          <c:y val="0.33874404573715677"/>
          <c:w val="0.68206831030848081"/>
          <c:h val="0.3554650076600076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D038-4472-B69A-763928E5D33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D038-4472-B69A-763928E5D33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akumulatif'!$D$24:$E$24</c:f>
              <c:strCache>
                <c:ptCount val="2"/>
                <c:pt idx="0">
                  <c:v>Pencapaian Smester 2</c:v>
                </c:pt>
                <c:pt idx="1">
                  <c:v>Deviasi</c:v>
                </c:pt>
              </c:strCache>
            </c:strRef>
          </c:cat>
          <c:val>
            <c:numRef>
              <c:f>'Grafik akumulatif'!$D$25:$E$25</c:f>
              <c:numCache>
                <c:formatCode>_-[$Rp-421]* #,##0_-;\-[$Rp-421]* #,##0_-;_-[$Rp-421]* "-"_-;_-@_-</c:formatCode>
                <c:ptCount val="2"/>
                <c:pt idx="0">
                  <c:v>17222968236</c:v>
                </c:pt>
                <c:pt idx="1">
                  <c:v>-5387031764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38-4472-B69A-763928E5D33B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D038-4472-B69A-763928E5D3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D038-4472-B69A-763928E5D33B}"/>
              </c:ext>
            </c:extLst>
          </c:dPt>
          <c:cat>
            <c:strRef>
              <c:f>'Grafik akumulatif'!$D$24:$E$24</c:f>
              <c:strCache>
                <c:ptCount val="2"/>
                <c:pt idx="0">
                  <c:v>Pencapaian Smester 2</c:v>
                </c:pt>
                <c:pt idx="1">
                  <c:v>Deviasi</c:v>
                </c:pt>
              </c:strCache>
            </c:strRef>
          </c:cat>
          <c:val>
            <c:numRef>
              <c:f>'Grafik akumulatif'!$D$26:$E$26</c:f>
              <c:numCache>
                <c:formatCode>0%</c:formatCode>
                <c:ptCount val="2"/>
                <c:pt idx="0">
                  <c:v>0.76174118690844761</c:v>
                </c:pt>
                <c:pt idx="1">
                  <c:v>-0.23825881309155239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38-4472-B69A-763928E5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586153</xdr:colOff>
      <xdr:row>2</xdr:row>
      <xdr:rowOff>18142</xdr:rowOff>
    </xdr:from>
    <xdr:to>
      <xdr:col>22</xdr:col>
      <xdr:colOff>-1</xdr:colOff>
      <xdr:row>15</xdr:row>
      <xdr:rowOff>86591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476250</xdr:colOff>
      <xdr:row>16</xdr:row>
      <xdr:rowOff>58362</xdr:rowOff>
    </xdr:from>
    <xdr:to>
      <xdr:col>21</xdr:col>
      <xdr:colOff>570832</xdr:colOff>
      <xdr:row>28</xdr:row>
      <xdr:rowOff>151644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577051</xdr:colOff>
      <xdr:row>16</xdr:row>
      <xdr:rowOff>40942</xdr:rowOff>
    </xdr:from>
    <xdr:to>
      <xdr:col>15</xdr:col>
      <xdr:colOff>375227</xdr:colOff>
      <xdr:row>28</xdr:row>
      <xdr:rowOff>154459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245381</xdr:colOff>
      <xdr:row>1</xdr:row>
      <xdr:rowOff>108854</xdr:rowOff>
    </xdr:from>
    <xdr:to>
      <xdr:col>21</xdr:col>
      <xdr:colOff>391809</xdr:colOff>
      <xdr:row>13</xdr:row>
      <xdr:rowOff>175638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241479</xdr:colOff>
      <xdr:row>14</xdr:row>
      <xdr:rowOff>90716</xdr:rowOff>
    </xdr:from>
    <xdr:to>
      <xdr:col>15</xdr:col>
      <xdr:colOff>482958</xdr:colOff>
      <xdr:row>25</xdr:row>
      <xdr:rowOff>94574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12643</xdr:colOff>
      <xdr:row>14</xdr:row>
      <xdr:rowOff>71531</xdr:rowOff>
    </xdr:from>
    <xdr:to>
      <xdr:col>21</xdr:col>
      <xdr:colOff>391809</xdr:colOff>
      <xdr:row>25</xdr:row>
      <xdr:rowOff>94574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4"/>
  <sheetViews>
    <sheetView tabSelected="1" zoomScale="70" zoomScaleNormal="70" workbookViewId="0">
      <pane xSplit="8" ySplit="1" topLeftCell="AK28" activePane="bottomRight" state="frozen"/>
      <selection pane="topRight" activeCell="I1" sqref="I1"/>
      <selection pane="bottomLeft" activeCell="A3" sqref="A3"/>
      <selection pane="bottomRight" activeCell="C30" sqref="C30"/>
    </sheetView>
  </sheetViews>
  <sheetFormatPr defaultColWidth="8.81640625" defaultRowHeight="15.5" x14ac:dyDescent="0.35"/>
  <cols>
    <col min="1" max="1" width="8.81640625" style="1" customWidth="1"/>
    <col min="2" max="2" width="13.90625" style="2" customWidth="1"/>
    <col min="3" max="3" width="39.1796875" style="3" customWidth="1"/>
    <col min="4" max="4" width="14.36328125" style="25" customWidth="1"/>
    <col min="5" max="5" width="14.36328125" style="2" customWidth="1"/>
    <col min="6" max="6" width="23" style="2" customWidth="1"/>
    <col min="7" max="7" width="18.453125" style="2" customWidth="1"/>
    <col min="8" max="8" width="14.36328125" style="2" customWidth="1"/>
    <col min="9" max="10" width="39" style="2" customWidth="1"/>
    <col min="11" max="12" width="34.90625" style="4" customWidth="1"/>
    <col min="13" max="13" width="30" style="4" customWidth="1"/>
    <col min="14" max="14" width="38.36328125" style="2" customWidth="1"/>
    <col min="15" max="15" width="37.08984375" style="2" customWidth="1"/>
    <col min="16" max="16" width="35.90625" style="2" customWidth="1"/>
    <col min="17" max="18" width="33.08984375" style="1" customWidth="1"/>
    <col min="19" max="20" width="23" style="1" customWidth="1"/>
    <col min="21" max="21" width="27.54296875" style="1" customWidth="1"/>
    <col min="22" max="22" width="34" style="1" customWidth="1"/>
    <col min="23" max="23" width="36.36328125" style="1" customWidth="1"/>
    <col min="24" max="24" width="35.26953125" style="2" customWidth="1"/>
    <col min="25" max="25" width="23.6328125" style="2" customWidth="1"/>
    <col min="26" max="26" width="32.26953125" style="2" customWidth="1"/>
    <col min="27" max="27" width="41.08984375" style="2" customWidth="1"/>
    <col min="28" max="28" width="30.453125" style="2" customWidth="1"/>
    <col min="29" max="29" width="28.7265625" style="2" customWidth="1"/>
    <col min="30" max="30" width="28.6328125" style="2" customWidth="1"/>
    <col min="31" max="31" width="33.08984375" style="2" customWidth="1"/>
    <col min="32" max="32" width="28.1796875" style="2" customWidth="1"/>
    <col min="33" max="35" width="27.36328125" style="2" customWidth="1"/>
    <col min="36" max="36" width="42" style="5" customWidth="1"/>
    <col min="37" max="37" width="34.81640625" style="3" bestFit="1" customWidth="1"/>
    <col min="38" max="38" width="40.36328125" style="5" customWidth="1"/>
    <col min="39" max="39" width="32.54296875" style="2" customWidth="1"/>
    <col min="40" max="40" width="40.54296875" style="2" customWidth="1"/>
    <col min="41" max="41" width="8.81640625" style="1" customWidth="1"/>
    <col min="42" max="16384" width="8.81640625" style="1"/>
  </cols>
  <sheetData>
    <row r="1" spans="1:40" s="7" customFormat="1" ht="94.5" customHeight="1" x14ac:dyDescent="0.35">
      <c r="A1" s="8"/>
      <c r="B1" s="133" t="s">
        <v>0</v>
      </c>
      <c r="C1" s="111" t="s">
        <v>1</v>
      </c>
      <c r="D1" s="111" t="s">
        <v>2</v>
      </c>
      <c r="E1" s="133" t="s">
        <v>3</v>
      </c>
      <c r="F1" s="111" t="s">
        <v>4</v>
      </c>
      <c r="G1" s="111" t="s">
        <v>5</v>
      </c>
      <c r="H1" s="111" t="s">
        <v>6</v>
      </c>
      <c r="I1" s="111" t="s">
        <v>7</v>
      </c>
      <c r="J1" s="111" t="s">
        <v>8</v>
      </c>
      <c r="K1" s="122" t="s">
        <v>9</v>
      </c>
      <c r="L1" s="122" t="s">
        <v>10</v>
      </c>
      <c r="M1" s="122" t="s">
        <v>11</v>
      </c>
      <c r="N1" s="134" t="s">
        <v>12</v>
      </c>
      <c r="O1" s="111" t="s">
        <v>13</v>
      </c>
      <c r="P1" s="111" t="s">
        <v>14</v>
      </c>
      <c r="Q1" s="111" t="s">
        <v>15</v>
      </c>
      <c r="R1" s="111" t="s">
        <v>16</v>
      </c>
      <c r="S1" s="111" t="s">
        <v>17</v>
      </c>
      <c r="T1" s="111" t="s">
        <v>18</v>
      </c>
      <c r="U1" s="133" t="s">
        <v>19</v>
      </c>
      <c r="V1" s="133" t="s">
        <v>20</v>
      </c>
      <c r="W1" s="135" t="s">
        <v>21</v>
      </c>
      <c r="X1" s="135" t="s">
        <v>22</v>
      </c>
      <c r="Y1" s="133" t="s">
        <v>23</v>
      </c>
      <c r="Z1" s="133" t="s">
        <v>24</v>
      </c>
      <c r="AA1" s="133" t="s">
        <v>25</v>
      </c>
      <c r="AB1" s="133" t="s">
        <v>26</v>
      </c>
      <c r="AC1" s="111" t="s">
        <v>27</v>
      </c>
      <c r="AD1" s="111" t="s">
        <v>28</v>
      </c>
      <c r="AE1" s="133" t="s">
        <v>29</v>
      </c>
      <c r="AF1" s="111" t="s">
        <v>30</v>
      </c>
      <c r="AG1" s="133" t="s">
        <v>31</v>
      </c>
      <c r="AH1" s="133" t="s">
        <v>32</v>
      </c>
      <c r="AI1" s="133" t="s">
        <v>33</v>
      </c>
      <c r="AJ1" s="111" t="s">
        <v>34</v>
      </c>
      <c r="AK1" s="111" t="s">
        <v>35</v>
      </c>
      <c r="AL1" s="136" t="s">
        <v>36</v>
      </c>
      <c r="AM1" s="137" t="s">
        <v>37</v>
      </c>
      <c r="AN1" s="6"/>
    </row>
    <row r="2" spans="1:40" s="7" customFormat="1" ht="66" customHeight="1" x14ac:dyDescent="0.35">
      <c r="A2" s="8"/>
      <c r="B2" s="152" t="s">
        <v>38</v>
      </c>
      <c r="C2" s="147"/>
      <c r="D2" s="148"/>
      <c r="E2" s="146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8"/>
      <c r="AN2" s="6"/>
    </row>
    <row r="3" spans="1:40" s="7" customFormat="1" ht="47.5" customHeight="1" x14ac:dyDescent="0.35">
      <c r="B3" s="11">
        <v>0</v>
      </c>
      <c r="C3" s="12"/>
      <c r="D3" s="13" t="s">
        <v>39</v>
      </c>
      <c r="E3" s="14" t="s">
        <v>40</v>
      </c>
      <c r="F3" s="14" t="s">
        <v>41</v>
      </c>
      <c r="G3" s="14" t="s">
        <v>42</v>
      </c>
      <c r="H3" s="15"/>
      <c r="I3" s="16"/>
      <c r="J3" s="16"/>
      <c r="K3" s="16"/>
      <c r="L3" s="16"/>
      <c r="M3" s="16"/>
      <c r="N3" s="16"/>
      <c r="O3" s="18"/>
      <c r="P3" s="18"/>
      <c r="Q3" s="20"/>
      <c r="R3" s="20"/>
      <c r="S3" s="20"/>
      <c r="T3" s="20"/>
      <c r="U3" s="17"/>
      <c r="V3" s="19"/>
      <c r="W3" s="18"/>
      <c r="X3" s="18"/>
      <c r="Y3" s="18"/>
      <c r="Z3" s="18"/>
      <c r="AA3" s="11"/>
      <c r="AB3" s="17"/>
      <c r="AC3" s="21"/>
      <c r="AD3" s="21"/>
      <c r="AE3" s="17"/>
      <c r="AF3" s="18"/>
      <c r="AG3" s="18"/>
      <c r="AH3" s="26"/>
      <c r="AI3" s="26"/>
      <c r="AJ3" s="17"/>
      <c r="AK3" s="17"/>
      <c r="AL3" s="33"/>
      <c r="AM3" s="32"/>
      <c r="AN3" s="9"/>
    </row>
    <row r="4" spans="1:40" s="7" customFormat="1" ht="47.5" customHeight="1" x14ac:dyDescent="0.35">
      <c r="B4" s="11">
        <v>1</v>
      </c>
      <c r="C4" s="12" t="s">
        <v>43</v>
      </c>
      <c r="D4" s="13" t="s">
        <v>39</v>
      </c>
      <c r="E4" s="14" t="s">
        <v>40</v>
      </c>
      <c r="F4" s="14" t="s">
        <v>41</v>
      </c>
      <c r="G4" s="14" t="s">
        <v>42</v>
      </c>
      <c r="H4" s="15"/>
      <c r="I4" s="16"/>
      <c r="J4" s="16"/>
      <c r="K4" s="16"/>
      <c r="L4" s="16"/>
      <c r="M4" s="16"/>
      <c r="N4" s="144" t="s">
        <v>44</v>
      </c>
      <c r="O4" s="18">
        <v>1167203300</v>
      </c>
      <c r="P4" s="18">
        <v>1295595663</v>
      </c>
      <c r="Q4" s="20"/>
      <c r="R4" s="20"/>
      <c r="S4" s="20"/>
      <c r="T4" s="20"/>
      <c r="U4" s="17" t="s">
        <v>45</v>
      </c>
      <c r="V4" s="19"/>
      <c r="W4" s="18">
        <v>1167203300</v>
      </c>
      <c r="X4" s="18">
        <v>1295595663</v>
      </c>
      <c r="Y4" s="18"/>
      <c r="Z4" s="18"/>
      <c r="AA4" s="11" t="s">
        <v>46</v>
      </c>
      <c r="AB4" s="17"/>
      <c r="AC4" s="21"/>
      <c r="AD4" s="21"/>
      <c r="AE4" s="17" t="s">
        <v>47</v>
      </c>
      <c r="AF4" s="18"/>
      <c r="AG4" s="18"/>
      <c r="AH4" s="26"/>
      <c r="AI4" s="26"/>
      <c r="AJ4" s="17"/>
      <c r="AK4" s="17"/>
      <c r="AL4" s="33" t="s">
        <v>48</v>
      </c>
      <c r="AM4" s="32" t="s">
        <v>49</v>
      </c>
      <c r="AN4" s="9"/>
    </row>
    <row r="5" spans="1:40" s="7" customFormat="1" ht="52" customHeight="1" x14ac:dyDescent="0.35">
      <c r="B5" s="11">
        <v>2</v>
      </c>
      <c r="C5" s="12" t="s">
        <v>50</v>
      </c>
      <c r="D5" s="13" t="s">
        <v>39</v>
      </c>
      <c r="E5" s="14" t="s">
        <v>40</v>
      </c>
      <c r="F5" s="14" t="s">
        <v>41</v>
      </c>
      <c r="G5" s="14" t="s">
        <v>42</v>
      </c>
      <c r="H5" s="15"/>
      <c r="I5" s="15"/>
      <c r="J5" s="15"/>
      <c r="K5" s="17"/>
      <c r="L5" s="17"/>
      <c r="M5" s="19"/>
      <c r="N5" s="144" t="s">
        <v>44</v>
      </c>
      <c r="O5" s="18">
        <v>1155889300</v>
      </c>
      <c r="P5" s="18">
        <v>1283037123</v>
      </c>
      <c r="Q5" s="23"/>
      <c r="R5" s="23"/>
      <c r="S5" s="23"/>
      <c r="T5" s="23"/>
      <c r="U5" s="13" t="s">
        <v>51</v>
      </c>
      <c r="V5" s="19"/>
      <c r="W5" s="18">
        <v>1155889300</v>
      </c>
      <c r="X5" s="18">
        <v>1283037123</v>
      </c>
      <c r="Y5" s="18"/>
      <c r="Z5" s="18"/>
      <c r="AA5" s="11" t="s">
        <v>46</v>
      </c>
      <c r="AB5" s="13"/>
      <c r="AC5" s="18"/>
      <c r="AD5" s="18"/>
      <c r="AE5" s="13" t="s">
        <v>52</v>
      </c>
      <c r="AF5" s="18"/>
      <c r="AG5" s="18"/>
      <c r="AH5" s="26"/>
      <c r="AI5" s="26"/>
      <c r="AJ5" s="22"/>
      <c r="AK5" s="27"/>
      <c r="AL5" s="33" t="s">
        <v>48</v>
      </c>
      <c r="AM5" s="32" t="s">
        <v>49</v>
      </c>
      <c r="AN5" s="9"/>
    </row>
    <row r="6" spans="1:40" s="7" customFormat="1" ht="52" customHeight="1" x14ac:dyDescent="0.35">
      <c r="B6" s="11">
        <v>3</v>
      </c>
      <c r="C6" s="12" t="s">
        <v>53</v>
      </c>
      <c r="D6" s="13" t="s">
        <v>39</v>
      </c>
      <c r="E6" s="14" t="s">
        <v>40</v>
      </c>
      <c r="F6" s="14" t="s">
        <v>41</v>
      </c>
      <c r="G6" s="14" t="s">
        <v>42</v>
      </c>
      <c r="H6" s="15"/>
      <c r="I6" s="15"/>
      <c r="J6" s="15"/>
      <c r="K6" s="17"/>
      <c r="L6" s="17"/>
      <c r="M6" s="19"/>
      <c r="N6" s="144" t="s">
        <v>44</v>
      </c>
      <c r="O6" s="18">
        <v>1167203300</v>
      </c>
      <c r="P6" s="18">
        <v>1295595663</v>
      </c>
      <c r="Q6" s="23"/>
      <c r="R6" s="23"/>
      <c r="S6" s="23"/>
      <c r="T6" s="23"/>
      <c r="U6" s="13"/>
      <c r="V6" s="19"/>
      <c r="W6" s="18"/>
      <c r="X6" s="18"/>
      <c r="Y6" s="18"/>
      <c r="Z6" s="18"/>
      <c r="AA6" s="11" t="s">
        <v>46</v>
      </c>
      <c r="AB6" s="13"/>
      <c r="AC6" s="18"/>
      <c r="AD6" s="18"/>
      <c r="AE6" s="13" t="s">
        <v>54</v>
      </c>
      <c r="AF6" s="18"/>
      <c r="AG6" s="18"/>
      <c r="AH6" s="26"/>
      <c r="AI6" s="26"/>
      <c r="AJ6" s="22"/>
      <c r="AK6" s="27"/>
      <c r="AL6" s="33" t="s">
        <v>48</v>
      </c>
      <c r="AM6" s="32" t="s">
        <v>49</v>
      </c>
      <c r="AN6" s="9"/>
    </row>
    <row r="7" spans="1:40" s="7" customFormat="1" ht="52" customHeight="1" x14ac:dyDescent="0.35">
      <c r="B7" s="11">
        <v>4</v>
      </c>
      <c r="C7" s="12" t="s">
        <v>55</v>
      </c>
      <c r="D7" s="13" t="s">
        <v>39</v>
      </c>
      <c r="E7" s="14" t="s">
        <v>40</v>
      </c>
      <c r="F7" s="14" t="s">
        <v>41</v>
      </c>
      <c r="G7" s="14" t="s">
        <v>42</v>
      </c>
      <c r="H7" s="15"/>
      <c r="I7" s="15"/>
      <c r="J7" s="15"/>
      <c r="K7" s="17"/>
      <c r="L7" s="17"/>
      <c r="M7" s="19"/>
      <c r="N7" s="144" t="s">
        <v>44</v>
      </c>
      <c r="O7" s="18">
        <v>1148013300</v>
      </c>
      <c r="P7" s="18">
        <v>1274294763</v>
      </c>
      <c r="Q7" s="23"/>
      <c r="R7" s="23"/>
      <c r="S7" s="23"/>
      <c r="T7" s="23"/>
      <c r="U7" s="13"/>
      <c r="V7" s="19"/>
      <c r="W7" s="18"/>
      <c r="X7" s="18"/>
      <c r="Y7" s="18"/>
      <c r="Z7" s="18"/>
      <c r="AA7" s="11" t="s">
        <v>46</v>
      </c>
      <c r="AB7" s="13"/>
      <c r="AC7" s="18"/>
      <c r="AD7" s="18"/>
      <c r="AE7" s="13" t="s">
        <v>56</v>
      </c>
      <c r="AF7" s="18"/>
      <c r="AG7" s="18"/>
      <c r="AH7" s="26"/>
      <c r="AI7" s="26"/>
      <c r="AJ7" s="22"/>
      <c r="AK7" s="27"/>
      <c r="AL7" s="33" t="s">
        <v>48</v>
      </c>
      <c r="AM7" s="32" t="s">
        <v>49</v>
      </c>
      <c r="AN7" s="9"/>
    </row>
    <row r="8" spans="1:40" s="7" customFormat="1" ht="52" customHeight="1" x14ac:dyDescent="0.35">
      <c r="B8" s="11">
        <v>5</v>
      </c>
      <c r="C8" s="12" t="s">
        <v>57</v>
      </c>
      <c r="D8" s="13" t="s">
        <v>39</v>
      </c>
      <c r="E8" s="14" t="s">
        <v>40</v>
      </c>
      <c r="F8" s="14" t="s">
        <v>41</v>
      </c>
      <c r="G8" s="14" t="s">
        <v>42</v>
      </c>
      <c r="H8" s="15"/>
      <c r="I8" s="15"/>
      <c r="J8" s="15"/>
      <c r="K8" s="17"/>
      <c r="L8" s="17"/>
      <c r="M8" s="19"/>
      <c r="N8" s="144" t="s">
        <v>44</v>
      </c>
      <c r="O8" s="18">
        <v>977065000</v>
      </c>
      <c r="P8" s="18">
        <v>1084542150</v>
      </c>
      <c r="Q8" s="23"/>
      <c r="R8" s="23"/>
      <c r="S8" s="23"/>
      <c r="T8" s="23"/>
      <c r="U8" s="13"/>
      <c r="V8" s="19"/>
      <c r="W8" s="18"/>
      <c r="X8" s="18"/>
      <c r="Y8" s="18"/>
      <c r="Z8" s="18"/>
      <c r="AA8" s="11" t="s">
        <v>46</v>
      </c>
      <c r="AB8" s="13"/>
      <c r="AC8" s="18"/>
      <c r="AD8" s="18"/>
      <c r="AE8" s="13"/>
      <c r="AF8" s="18"/>
      <c r="AG8" s="18"/>
      <c r="AH8" s="26"/>
      <c r="AI8" s="26"/>
      <c r="AJ8" s="22"/>
      <c r="AK8" s="27"/>
      <c r="AL8" s="33" t="s">
        <v>48</v>
      </c>
      <c r="AM8" s="32" t="s">
        <v>49</v>
      </c>
      <c r="AN8" s="9"/>
    </row>
    <row r="9" spans="1:40" s="7" customFormat="1" ht="52" customHeight="1" x14ac:dyDescent="0.35">
      <c r="B9" s="11">
        <v>6</v>
      </c>
      <c r="C9" s="12" t="s">
        <v>58</v>
      </c>
      <c r="D9" s="13" t="s">
        <v>39</v>
      </c>
      <c r="E9" s="14" t="s">
        <v>40</v>
      </c>
      <c r="F9" s="14" t="s">
        <v>41</v>
      </c>
      <c r="G9" s="14" t="s">
        <v>42</v>
      </c>
      <c r="H9" s="15"/>
      <c r="I9" s="15"/>
      <c r="J9" s="15"/>
      <c r="K9" s="17"/>
      <c r="L9" s="17"/>
      <c r="M9" s="19"/>
      <c r="N9" s="144" t="s">
        <v>44</v>
      </c>
      <c r="O9" s="18">
        <v>1128353800</v>
      </c>
      <c r="P9" s="18">
        <v>1252472718</v>
      </c>
      <c r="Q9" s="23"/>
      <c r="R9" s="23"/>
      <c r="S9" s="23"/>
      <c r="T9" s="23"/>
      <c r="U9" s="13"/>
      <c r="V9" s="19"/>
      <c r="W9" s="18"/>
      <c r="X9" s="18"/>
      <c r="Y9" s="18"/>
      <c r="Z9" s="18"/>
      <c r="AA9" s="11" t="s">
        <v>46</v>
      </c>
      <c r="AB9" s="13"/>
      <c r="AC9" s="18"/>
      <c r="AD9" s="18"/>
      <c r="AE9" s="13"/>
      <c r="AF9" s="18"/>
      <c r="AG9" s="18"/>
      <c r="AH9" s="26"/>
      <c r="AI9" s="26"/>
      <c r="AJ9" s="22"/>
      <c r="AK9" s="27"/>
      <c r="AL9" s="33" t="s">
        <v>48</v>
      </c>
      <c r="AM9" s="32" t="s">
        <v>49</v>
      </c>
      <c r="AN9" s="9"/>
    </row>
    <row r="10" spans="1:40" s="7" customFormat="1" ht="52" customHeight="1" x14ac:dyDescent="0.35">
      <c r="B10" s="11">
        <v>7</v>
      </c>
      <c r="C10" s="12" t="s">
        <v>59</v>
      </c>
      <c r="D10" s="13" t="s">
        <v>39</v>
      </c>
      <c r="E10" s="14" t="s">
        <v>40</v>
      </c>
      <c r="F10" s="14" t="s">
        <v>41</v>
      </c>
      <c r="G10" s="14" t="s">
        <v>42</v>
      </c>
      <c r="H10" s="15"/>
      <c r="I10" s="15"/>
      <c r="J10" s="15"/>
      <c r="K10" s="17"/>
      <c r="L10" s="17"/>
      <c r="M10" s="19"/>
      <c r="N10" s="144" t="s">
        <v>44</v>
      </c>
      <c r="O10" s="18">
        <v>1126504300</v>
      </c>
      <c r="P10" s="18">
        <v>1250419773</v>
      </c>
      <c r="Q10" s="23"/>
      <c r="R10" s="23"/>
      <c r="S10" s="23"/>
      <c r="T10" s="23"/>
      <c r="U10" s="13"/>
      <c r="V10" s="19"/>
      <c r="W10" s="18"/>
      <c r="X10" s="18"/>
      <c r="Y10" s="18"/>
      <c r="Z10" s="18"/>
      <c r="AA10" s="11" t="s">
        <v>46</v>
      </c>
      <c r="AB10" s="13"/>
      <c r="AC10" s="18"/>
      <c r="AD10" s="18"/>
      <c r="AE10" s="13"/>
      <c r="AF10" s="18"/>
      <c r="AG10" s="18"/>
      <c r="AH10" s="26"/>
      <c r="AI10" s="26"/>
      <c r="AJ10" s="22"/>
      <c r="AK10" s="27"/>
      <c r="AL10" s="33" t="s">
        <v>48</v>
      </c>
      <c r="AM10" s="32" t="s">
        <v>49</v>
      </c>
      <c r="AN10" s="9"/>
    </row>
    <row r="11" spans="1:40" s="7" customFormat="1" ht="52" customHeight="1" x14ac:dyDescent="0.35">
      <c r="B11" s="11">
        <v>8</v>
      </c>
      <c r="C11" s="12" t="s">
        <v>60</v>
      </c>
      <c r="D11" s="13" t="s">
        <v>39</v>
      </c>
      <c r="E11" s="14" t="s">
        <v>40</v>
      </c>
      <c r="F11" s="14" t="s">
        <v>41</v>
      </c>
      <c r="G11" s="14" t="s">
        <v>42</v>
      </c>
      <c r="H11" s="15"/>
      <c r="I11" s="15"/>
      <c r="J11" s="15"/>
      <c r="K11" s="17"/>
      <c r="L11" s="17"/>
      <c r="M11" s="19"/>
      <c r="N11" s="144" t="s">
        <v>44</v>
      </c>
      <c r="O11" s="18"/>
      <c r="P11" s="18"/>
      <c r="Q11" s="23"/>
      <c r="R11" s="23"/>
      <c r="S11" s="23"/>
      <c r="T11" s="23"/>
      <c r="U11" s="13"/>
      <c r="V11" s="19"/>
      <c r="W11" s="18"/>
      <c r="X11" s="18"/>
      <c r="Y11" s="18"/>
      <c r="Z11" s="18"/>
      <c r="AA11" s="11" t="s">
        <v>46</v>
      </c>
      <c r="AB11" s="13"/>
      <c r="AC11" s="18"/>
      <c r="AD11" s="18"/>
      <c r="AE11" s="13"/>
      <c r="AF11" s="18"/>
      <c r="AG11" s="18"/>
      <c r="AH11" s="26"/>
      <c r="AI11" s="26"/>
      <c r="AJ11" s="22"/>
      <c r="AK11" s="27"/>
      <c r="AL11" s="33" t="s">
        <v>61</v>
      </c>
      <c r="AM11" s="32" t="s">
        <v>62</v>
      </c>
      <c r="AN11" s="9"/>
    </row>
    <row r="12" spans="1:40" s="7" customFormat="1" ht="52" customHeight="1" x14ac:dyDescent="0.35">
      <c r="B12" s="11">
        <v>9</v>
      </c>
      <c r="C12" s="12" t="s">
        <v>63</v>
      </c>
      <c r="D12" s="13" t="s">
        <v>39</v>
      </c>
      <c r="E12" s="14" t="s">
        <v>40</v>
      </c>
      <c r="F12" s="14" t="s">
        <v>41</v>
      </c>
      <c r="G12" s="14" t="s">
        <v>42</v>
      </c>
      <c r="H12" s="15"/>
      <c r="I12" s="15"/>
      <c r="J12" s="15"/>
      <c r="K12" s="17"/>
      <c r="L12" s="17"/>
      <c r="M12" s="19"/>
      <c r="N12" s="144" t="s">
        <v>44</v>
      </c>
      <c r="O12" s="18"/>
      <c r="P12" s="18"/>
      <c r="Q12" s="23"/>
      <c r="R12" s="23"/>
      <c r="S12" s="23"/>
      <c r="T12" s="23"/>
      <c r="U12" s="13"/>
      <c r="V12" s="19"/>
      <c r="W12" s="18"/>
      <c r="X12" s="18"/>
      <c r="Y12" s="18"/>
      <c r="Z12" s="18"/>
      <c r="AA12" s="11" t="s">
        <v>46</v>
      </c>
      <c r="AB12" s="13"/>
      <c r="AC12" s="18"/>
      <c r="AD12" s="18"/>
      <c r="AE12" s="13"/>
      <c r="AF12" s="18"/>
      <c r="AG12" s="18"/>
      <c r="AH12" s="26"/>
      <c r="AI12" s="26"/>
      <c r="AJ12" s="22"/>
      <c r="AK12" s="27"/>
      <c r="AL12" s="33"/>
      <c r="AM12" s="32"/>
      <c r="AN12" s="9"/>
    </row>
    <row r="13" spans="1:40" s="7" customFormat="1" ht="52" customHeight="1" x14ac:dyDescent="0.35">
      <c r="B13" s="11">
        <v>10</v>
      </c>
      <c r="C13" s="12" t="s">
        <v>64</v>
      </c>
      <c r="D13" s="13" t="s">
        <v>39</v>
      </c>
      <c r="E13" s="14" t="s">
        <v>40</v>
      </c>
      <c r="F13" s="14" t="s">
        <v>41</v>
      </c>
      <c r="G13" s="14" t="s">
        <v>42</v>
      </c>
      <c r="H13" s="15"/>
      <c r="I13" s="15"/>
      <c r="J13" s="15"/>
      <c r="K13" s="17"/>
      <c r="L13" s="17"/>
      <c r="M13" s="19"/>
      <c r="N13" s="144" t="s">
        <v>44</v>
      </c>
      <c r="O13" s="18"/>
      <c r="P13" s="18"/>
      <c r="Q13" s="23"/>
      <c r="R13" s="23"/>
      <c r="S13" s="23"/>
      <c r="T13" s="23"/>
      <c r="U13" s="13"/>
      <c r="V13" s="19"/>
      <c r="W13" s="18"/>
      <c r="X13" s="18"/>
      <c r="Y13" s="18"/>
      <c r="Z13" s="18"/>
      <c r="AA13" s="11" t="s">
        <v>46</v>
      </c>
      <c r="AB13" s="13"/>
      <c r="AC13" s="18"/>
      <c r="AD13" s="18"/>
      <c r="AE13" s="13"/>
      <c r="AF13" s="18"/>
      <c r="AG13" s="18"/>
      <c r="AH13" s="26"/>
      <c r="AI13" s="26"/>
      <c r="AJ13" s="22"/>
      <c r="AK13" s="27"/>
      <c r="AL13" s="33"/>
      <c r="AM13" s="32"/>
      <c r="AN13" s="9"/>
    </row>
    <row r="14" spans="1:40" s="7" customFormat="1" ht="52" customHeight="1" x14ac:dyDescent="0.35">
      <c r="B14" s="11">
        <v>11</v>
      </c>
      <c r="C14" s="12" t="s">
        <v>65</v>
      </c>
      <c r="D14" s="13" t="s">
        <v>39</v>
      </c>
      <c r="E14" s="14" t="s">
        <v>40</v>
      </c>
      <c r="F14" s="14" t="s">
        <v>41</v>
      </c>
      <c r="G14" s="14" t="s">
        <v>42</v>
      </c>
      <c r="H14" s="15"/>
      <c r="I14" s="15"/>
      <c r="J14" s="15"/>
      <c r="K14" s="17"/>
      <c r="L14" s="17"/>
      <c r="M14" s="19"/>
      <c r="N14" s="144" t="s">
        <v>44</v>
      </c>
      <c r="O14" s="18"/>
      <c r="P14" s="18"/>
      <c r="Q14" s="23"/>
      <c r="R14" s="23"/>
      <c r="S14" s="23"/>
      <c r="T14" s="23"/>
      <c r="U14" s="13"/>
      <c r="V14" s="19"/>
      <c r="W14" s="18"/>
      <c r="X14" s="18"/>
      <c r="Y14" s="18"/>
      <c r="Z14" s="18"/>
      <c r="AA14" s="11" t="s">
        <v>46</v>
      </c>
      <c r="AB14" s="13"/>
      <c r="AC14" s="18"/>
      <c r="AD14" s="18"/>
      <c r="AE14" s="13"/>
      <c r="AF14" s="18"/>
      <c r="AG14" s="18"/>
      <c r="AH14" s="26"/>
      <c r="AI14" s="26"/>
      <c r="AJ14" s="22"/>
      <c r="AK14" s="27"/>
      <c r="AL14" s="33"/>
      <c r="AM14" s="32"/>
      <c r="AN14" s="9"/>
    </row>
    <row r="15" spans="1:40" s="7" customFormat="1" ht="52" customHeight="1" x14ac:dyDescent="0.35">
      <c r="B15" s="11">
        <v>12</v>
      </c>
      <c r="C15" s="12" t="s">
        <v>66</v>
      </c>
      <c r="D15" s="13" t="s">
        <v>39</v>
      </c>
      <c r="E15" s="14" t="s">
        <v>40</v>
      </c>
      <c r="F15" s="14" t="s">
        <v>41</v>
      </c>
      <c r="G15" s="14" t="s">
        <v>42</v>
      </c>
      <c r="H15" s="15"/>
      <c r="I15" s="15"/>
      <c r="J15" s="15"/>
      <c r="K15" s="17"/>
      <c r="L15" s="17"/>
      <c r="M15" s="19"/>
      <c r="N15" s="144" t="s">
        <v>44</v>
      </c>
      <c r="O15" s="18"/>
      <c r="P15" s="18"/>
      <c r="Q15" s="23"/>
      <c r="R15" s="23"/>
      <c r="S15" s="23"/>
      <c r="T15" s="23"/>
      <c r="U15" s="13"/>
      <c r="V15" s="19"/>
      <c r="W15" s="18"/>
      <c r="X15" s="18"/>
      <c r="Y15" s="18"/>
      <c r="Z15" s="18"/>
      <c r="AA15" s="11" t="s">
        <v>46</v>
      </c>
      <c r="AB15" s="13"/>
      <c r="AC15" s="18"/>
      <c r="AD15" s="18"/>
      <c r="AE15" s="13"/>
      <c r="AF15" s="18"/>
      <c r="AG15" s="18"/>
      <c r="AH15" s="26"/>
      <c r="AI15" s="26"/>
      <c r="AJ15" s="22"/>
      <c r="AK15" s="27"/>
      <c r="AL15" s="33"/>
      <c r="AM15" s="32"/>
      <c r="AN15" s="9"/>
    </row>
    <row r="16" spans="1:40" s="7" customFormat="1" ht="74.5" customHeight="1" x14ac:dyDescent="0.35">
      <c r="B16" s="11">
        <v>13</v>
      </c>
      <c r="C16" s="12" t="s">
        <v>67</v>
      </c>
      <c r="D16" s="13" t="s">
        <v>68</v>
      </c>
      <c r="E16" s="14" t="s">
        <v>40</v>
      </c>
      <c r="F16" s="14" t="s">
        <v>41</v>
      </c>
      <c r="G16" s="14" t="s">
        <v>69</v>
      </c>
      <c r="H16" s="15"/>
      <c r="I16" s="15"/>
      <c r="J16" s="16"/>
      <c r="K16" s="17">
        <v>634748000</v>
      </c>
      <c r="L16" s="17">
        <v>704570280</v>
      </c>
      <c r="M16" s="19" t="s">
        <v>70</v>
      </c>
      <c r="N16" s="145" t="s">
        <v>71</v>
      </c>
      <c r="O16" s="18">
        <v>634748000</v>
      </c>
      <c r="P16" s="18">
        <v>704570280</v>
      </c>
      <c r="Q16" s="23" t="s">
        <v>72</v>
      </c>
      <c r="R16" s="23"/>
      <c r="S16" s="23"/>
      <c r="T16" s="23"/>
      <c r="U16" s="13"/>
      <c r="V16" s="19"/>
      <c r="W16" s="18"/>
      <c r="X16" s="18"/>
      <c r="Y16" s="18"/>
      <c r="Z16" s="18"/>
      <c r="AA16" s="11" t="s">
        <v>69</v>
      </c>
      <c r="AB16" s="13"/>
      <c r="AC16" s="18"/>
      <c r="AD16" s="18"/>
      <c r="AE16" s="13"/>
      <c r="AF16" s="18"/>
      <c r="AG16" s="18"/>
      <c r="AH16" s="26"/>
      <c r="AI16" s="26"/>
      <c r="AJ16" s="22"/>
      <c r="AK16" s="27"/>
      <c r="AL16" s="33" t="s">
        <v>48</v>
      </c>
      <c r="AM16" s="31" t="s">
        <v>49</v>
      </c>
      <c r="AN16" s="8"/>
    </row>
    <row r="17" spans="2:40" s="7" customFormat="1" ht="72" customHeight="1" x14ac:dyDescent="0.35">
      <c r="B17" s="11">
        <v>14</v>
      </c>
      <c r="C17" s="12" t="s">
        <v>73</v>
      </c>
      <c r="D17" s="13" t="s">
        <v>39</v>
      </c>
      <c r="E17" s="14" t="s">
        <v>74</v>
      </c>
      <c r="F17" s="14" t="s">
        <v>41</v>
      </c>
      <c r="G17" s="14" t="s">
        <v>42</v>
      </c>
      <c r="H17" s="15"/>
      <c r="I17" s="15"/>
      <c r="J17" s="15"/>
      <c r="K17" s="17">
        <v>831775000</v>
      </c>
      <c r="L17" s="17">
        <v>923270250</v>
      </c>
      <c r="M17" s="19"/>
      <c r="N17" s="19"/>
      <c r="O17" s="18">
        <v>812094215</v>
      </c>
      <c r="P17" s="18">
        <v>901424579</v>
      </c>
      <c r="Q17" s="23"/>
      <c r="R17" s="23"/>
      <c r="S17" s="23"/>
      <c r="T17" s="23"/>
      <c r="U17" s="13" t="s">
        <v>75</v>
      </c>
      <c r="V17" s="19"/>
      <c r="W17" s="18"/>
      <c r="X17" s="18"/>
      <c r="Y17" s="18"/>
      <c r="Z17" s="18"/>
      <c r="AA17" s="11" t="s">
        <v>76</v>
      </c>
      <c r="AB17" s="13"/>
      <c r="AC17" s="18"/>
      <c r="AD17" s="18"/>
      <c r="AE17" s="13"/>
      <c r="AF17" s="18"/>
      <c r="AG17" s="18"/>
      <c r="AH17" s="26"/>
      <c r="AI17" s="26"/>
      <c r="AJ17" s="22"/>
      <c r="AK17" s="27"/>
      <c r="AL17" s="33" t="s">
        <v>48</v>
      </c>
      <c r="AM17" s="32" t="s">
        <v>77</v>
      </c>
      <c r="AN17" s="9"/>
    </row>
    <row r="18" spans="2:40" s="7" customFormat="1" ht="52" customHeight="1" x14ac:dyDescent="0.35">
      <c r="B18" s="11">
        <v>15</v>
      </c>
      <c r="C18" s="138" t="s">
        <v>78</v>
      </c>
      <c r="D18" s="13" t="s">
        <v>39</v>
      </c>
      <c r="E18" s="14" t="s">
        <v>74</v>
      </c>
      <c r="F18" s="14" t="s">
        <v>79</v>
      </c>
      <c r="G18" s="14" t="s">
        <v>42</v>
      </c>
      <c r="H18" s="15"/>
      <c r="I18" s="15"/>
      <c r="J18" s="15"/>
      <c r="K18" s="17">
        <v>300000000</v>
      </c>
      <c r="L18" s="17">
        <v>333000000</v>
      </c>
      <c r="M18" s="19"/>
      <c r="N18" s="19"/>
      <c r="O18" s="18"/>
      <c r="P18" s="18"/>
      <c r="Q18" s="23"/>
      <c r="R18" s="23"/>
      <c r="S18" s="23"/>
      <c r="T18" s="23"/>
      <c r="U18" s="13"/>
      <c r="V18" s="19"/>
      <c r="W18" s="18"/>
      <c r="X18" s="18"/>
      <c r="Y18" s="18"/>
      <c r="Z18" s="18"/>
      <c r="AA18" s="11"/>
      <c r="AB18" s="13"/>
      <c r="AC18" s="18"/>
      <c r="AD18" s="18"/>
      <c r="AE18" s="13"/>
      <c r="AF18" s="18"/>
      <c r="AG18" s="18"/>
      <c r="AH18" s="26"/>
      <c r="AI18" s="26"/>
      <c r="AJ18" s="22"/>
      <c r="AK18" s="27"/>
      <c r="AL18" s="33" t="s">
        <v>79</v>
      </c>
      <c r="AM18" s="32" t="s">
        <v>79</v>
      </c>
      <c r="AN18" s="9"/>
    </row>
    <row r="19" spans="2:40" s="7" customFormat="1" ht="52" customHeight="1" x14ac:dyDescent="0.35">
      <c r="B19" s="11">
        <v>16</v>
      </c>
      <c r="C19" s="12" t="s">
        <v>80</v>
      </c>
      <c r="D19" s="13" t="s">
        <v>39</v>
      </c>
      <c r="E19" s="14" t="s">
        <v>74</v>
      </c>
      <c r="F19" s="14" t="s">
        <v>41</v>
      </c>
      <c r="G19" s="14" t="s">
        <v>81</v>
      </c>
      <c r="H19" s="15"/>
      <c r="I19" s="15"/>
      <c r="J19" s="15"/>
      <c r="K19" s="17"/>
      <c r="L19" s="17"/>
      <c r="M19" s="19"/>
      <c r="N19" s="19"/>
      <c r="O19" s="18"/>
      <c r="P19" s="18"/>
      <c r="Q19" s="23"/>
      <c r="R19" s="23"/>
      <c r="S19" s="23"/>
      <c r="T19" s="23"/>
      <c r="U19" s="13"/>
      <c r="V19" s="19"/>
      <c r="W19" s="18"/>
      <c r="X19" s="18"/>
      <c r="Y19" s="18"/>
      <c r="Z19" s="18"/>
      <c r="AA19" s="11" t="s">
        <v>81</v>
      </c>
      <c r="AB19" s="13"/>
      <c r="AC19" s="18"/>
      <c r="AD19" s="18"/>
      <c r="AE19" s="13"/>
      <c r="AF19" s="18"/>
      <c r="AG19" s="18"/>
      <c r="AH19" s="26"/>
      <c r="AI19" s="26"/>
      <c r="AJ19" s="22"/>
      <c r="AK19" s="27"/>
      <c r="AL19" s="33" t="s">
        <v>82</v>
      </c>
      <c r="AM19" s="32" t="s">
        <v>62</v>
      </c>
      <c r="AN19" s="9"/>
    </row>
    <row r="20" spans="2:40" s="7" customFormat="1" ht="100.5" customHeight="1" x14ac:dyDescent="0.35">
      <c r="B20" s="11">
        <v>17</v>
      </c>
      <c r="C20" s="12" t="s">
        <v>83</v>
      </c>
      <c r="D20" s="13" t="s">
        <v>39</v>
      </c>
      <c r="E20" s="14" t="s">
        <v>74</v>
      </c>
      <c r="F20" s="14" t="s">
        <v>41</v>
      </c>
      <c r="G20" s="14" t="s">
        <v>39</v>
      </c>
      <c r="H20" s="15"/>
      <c r="I20" s="15"/>
      <c r="J20" s="15"/>
      <c r="K20" s="17">
        <v>538990200</v>
      </c>
      <c r="L20" s="17">
        <v>598279122</v>
      </c>
      <c r="M20" s="19"/>
      <c r="N20" s="19"/>
      <c r="O20" s="18">
        <v>520079000</v>
      </c>
      <c r="P20" s="18">
        <v>577287690</v>
      </c>
      <c r="Q20" s="23" t="s">
        <v>84</v>
      </c>
      <c r="R20" s="23"/>
      <c r="S20" s="23"/>
      <c r="T20" s="23"/>
      <c r="U20" s="13"/>
      <c r="V20" s="19"/>
      <c r="W20" s="18"/>
      <c r="X20" s="18"/>
      <c r="Y20" s="18"/>
      <c r="Z20" s="18"/>
      <c r="AA20" s="11" t="s">
        <v>85</v>
      </c>
      <c r="AB20" s="13" t="s">
        <v>86</v>
      </c>
      <c r="AC20" s="18">
        <v>430890000</v>
      </c>
      <c r="AD20" s="18">
        <v>478287900</v>
      </c>
      <c r="AE20" s="13"/>
      <c r="AF20" s="18"/>
      <c r="AG20" s="18"/>
      <c r="AH20" s="26"/>
      <c r="AI20" s="26"/>
      <c r="AJ20" s="22"/>
      <c r="AK20" s="27"/>
      <c r="AL20" s="33" t="s">
        <v>87</v>
      </c>
      <c r="AM20" s="32" t="s">
        <v>62</v>
      </c>
      <c r="AN20" s="9"/>
    </row>
    <row r="21" spans="2:40" s="7" customFormat="1" ht="52" customHeight="1" x14ac:dyDescent="0.35">
      <c r="B21" s="11">
        <v>18</v>
      </c>
      <c r="C21" s="138" t="s">
        <v>88</v>
      </c>
      <c r="D21" s="13" t="s">
        <v>39</v>
      </c>
      <c r="E21" s="14" t="s">
        <v>40</v>
      </c>
      <c r="F21" s="13" t="s">
        <v>89</v>
      </c>
      <c r="G21" s="14" t="s">
        <v>69</v>
      </c>
      <c r="H21" s="15"/>
      <c r="I21" s="15"/>
      <c r="J21" s="15" t="s">
        <v>90</v>
      </c>
      <c r="K21" s="17">
        <v>1245778000</v>
      </c>
      <c r="L21" s="17">
        <v>1382813580</v>
      </c>
      <c r="M21" s="19"/>
      <c r="N21" s="19"/>
      <c r="O21" s="18"/>
      <c r="P21" s="18"/>
      <c r="Q21" s="23"/>
      <c r="R21" s="23"/>
      <c r="S21" s="23"/>
      <c r="T21" s="23"/>
      <c r="U21" s="13"/>
      <c r="V21" s="19"/>
      <c r="W21" s="18"/>
      <c r="X21" s="18"/>
      <c r="Y21" s="18"/>
      <c r="Z21" s="18"/>
      <c r="AA21" s="11"/>
      <c r="AB21" s="13" t="s">
        <v>90</v>
      </c>
      <c r="AC21" s="18"/>
      <c r="AD21" s="18"/>
      <c r="AE21" s="13"/>
      <c r="AF21" s="18"/>
      <c r="AG21" s="18"/>
      <c r="AH21" s="26"/>
      <c r="AI21" s="26"/>
      <c r="AJ21" s="22"/>
      <c r="AK21" s="27"/>
      <c r="AL21" s="33" t="s">
        <v>91</v>
      </c>
      <c r="AM21" s="32" t="s">
        <v>62</v>
      </c>
      <c r="AN21" s="9"/>
    </row>
    <row r="22" spans="2:40" s="7" customFormat="1" ht="97" customHeight="1" x14ac:dyDescent="0.35">
      <c r="B22" s="11">
        <v>19</v>
      </c>
      <c r="C22" s="12" t="s">
        <v>92</v>
      </c>
      <c r="D22" s="13" t="s">
        <v>39</v>
      </c>
      <c r="E22" s="14" t="s">
        <v>93</v>
      </c>
      <c r="F22" s="13" t="s">
        <v>41</v>
      </c>
      <c r="G22" s="14" t="s">
        <v>69</v>
      </c>
      <c r="H22" s="15"/>
      <c r="I22" s="15"/>
      <c r="J22" s="15"/>
      <c r="K22" s="17">
        <v>4892799000</v>
      </c>
      <c r="L22" s="17">
        <v>5431006890</v>
      </c>
      <c r="M22" s="19"/>
      <c r="N22" s="19"/>
      <c r="O22" s="18">
        <v>4892799000</v>
      </c>
      <c r="P22" s="18">
        <v>5431006890</v>
      </c>
      <c r="Q22" s="23" t="s">
        <v>94</v>
      </c>
      <c r="R22" s="23"/>
      <c r="S22" s="23"/>
      <c r="T22" s="23"/>
      <c r="U22" s="13"/>
      <c r="V22" s="19"/>
      <c r="W22" s="18"/>
      <c r="X22" s="18"/>
      <c r="Y22" s="18"/>
      <c r="Z22" s="18"/>
      <c r="AA22" s="121" t="s">
        <v>95</v>
      </c>
      <c r="AB22" s="13" t="s">
        <v>96</v>
      </c>
      <c r="AC22" s="18"/>
      <c r="AD22" s="18"/>
      <c r="AE22" s="13"/>
      <c r="AF22" s="18"/>
      <c r="AG22" s="18"/>
      <c r="AH22" s="26"/>
      <c r="AI22" s="26"/>
      <c r="AJ22" s="22"/>
      <c r="AK22" s="27"/>
      <c r="AL22" s="33" t="s">
        <v>48</v>
      </c>
      <c r="AM22" s="32"/>
      <c r="AN22" s="9"/>
    </row>
    <row r="23" spans="2:40" s="7" customFormat="1" ht="85.5" customHeight="1" x14ac:dyDescent="0.35">
      <c r="B23" s="11">
        <v>20</v>
      </c>
      <c r="C23" s="138" t="s">
        <v>97</v>
      </c>
      <c r="D23" s="13" t="s">
        <v>39</v>
      </c>
      <c r="E23" s="14" t="s">
        <v>98</v>
      </c>
      <c r="F23" s="13" t="s">
        <v>99</v>
      </c>
      <c r="G23" s="14" t="s">
        <v>42</v>
      </c>
      <c r="H23" s="15"/>
      <c r="I23" s="15"/>
      <c r="J23" s="15"/>
      <c r="K23" s="17"/>
      <c r="L23" s="17"/>
      <c r="M23" s="19"/>
      <c r="N23" s="19"/>
      <c r="O23" s="18"/>
      <c r="P23" s="18"/>
      <c r="Q23" s="23"/>
      <c r="R23" s="23"/>
      <c r="S23" s="23"/>
      <c r="T23" s="23"/>
      <c r="U23" s="13"/>
      <c r="V23" s="19"/>
      <c r="W23" s="18"/>
      <c r="X23" s="18"/>
      <c r="Y23" s="18"/>
      <c r="Z23" s="18"/>
      <c r="AA23" s="11"/>
      <c r="AB23" s="13"/>
      <c r="AC23" s="18"/>
      <c r="AD23" s="18"/>
      <c r="AE23" s="13"/>
      <c r="AF23" s="18"/>
      <c r="AG23" s="18"/>
      <c r="AH23" s="26"/>
      <c r="AI23" s="26"/>
      <c r="AJ23" s="22"/>
      <c r="AK23" s="27"/>
      <c r="AL23" s="33"/>
      <c r="AM23" s="32"/>
      <c r="AN23" s="9"/>
    </row>
    <row r="24" spans="2:40" s="7" customFormat="1" ht="52" customHeight="1" x14ac:dyDescent="0.35">
      <c r="B24" s="11">
        <v>21</v>
      </c>
      <c r="C24" s="12" t="s">
        <v>100</v>
      </c>
      <c r="D24" s="13" t="s">
        <v>39</v>
      </c>
      <c r="E24" s="14" t="s">
        <v>74</v>
      </c>
      <c r="F24" s="13" t="s">
        <v>99</v>
      </c>
      <c r="G24" s="14" t="s">
        <v>42</v>
      </c>
      <c r="H24" s="15"/>
      <c r="I24" s="15"/>
      <c r="J24" s="15"/>
      <c r="K24" s="17"/>
      <c r="L24" s="17"/>
      <c r="M24" s="19"/>
      <c r="N24" s="19"/>
      <c r="O24" s="18"/>
      <c r="P24" s="18"/>
      <c r="Q24" s="23"/>
      <c r="R24" s="23"/>
      <c r="S24" s="23"/>
      <c r="T24" s="23"/>
      <c r="U24" s="13"/>
      <c r="V24" s="19"/>
      <c r="W24" s="18"/>
      <c r="X24" s="18"/>
      <c r="Y24" s="18"/>
      <c r="Z24" s="18"/>
      <c r="AA24" s="22" t="s">
        <v>101</v>
      </c>
      <c r="AB24" s="13"/>
      <c r="AC24" s="18"/>
      <c r="AD24" s="18"/>
      <c r="AE24" s="13"/>
      <c r="AF24" s="18"/>
      <c r="AG24" s="18"/>
      <c r="AH24" s="26"/>
      <c r="AI24" s="26"/>
      <c r="AJ24" s="22"/>
      <c r="AK24" s="27"/>
      <c r="AL24" s="33" t="s">
        <v>102</v>
      </c>
      <c r="AM24" s="32" t="s">
        <v>62</v>
      </c>
      <c r="AN24" s="9"/>
    </row>
    <row r="25" spans="2:40" s="7" customFormat="1" ht="52" customHeight="1" x14ac:dyDescent="0.35">
      <c r="B25" s="11">
        <v>22</v>
      </c>
      <c r="C25" s="138" t="s">
        <v>103</v>
      </c>
      <c r="D25" s="13" t="s">
        <v>39</v>
      </c>
      <c r="E25" s="14" t="s">
        <v>104</v>
      </c>
      <c r="F25" s="13" t="s">
        <v>99</v>
      </c>
      <c r="G25" s="14" t="s">
        <v>42</v>
      </c>
      <c r="H25" s="15"/>
      <c r="I25" s="15"/>
      <c r="J25" s="15"/>
      <c r="K25" s="17"/>
      <c r="L25" s="17"/>
      <c r="M25" s="19"/>
      <c r="N25" s="19"/>
      <c r="O25" s="18"/>
      <c r="P25" s="18"/>
      <c r="Q25" s="23"/>
      <c r="R25" s="23"/>
      <c r="S25" s="23"/>
      <c r="T25" s="23"/>
      <c r="U25" s="13"/>
      <c r="V25" s="19"/>
      <c r="W25" s="18"/>
      <c r="X25" s="18"/>
      <c r="Y25" s="18"/>
      <c r="Z25" s="18"/>
      <c r="AA25" s="22" t="s">
        <v>105</v>
      </c>
      <c r="AB25" s="13"/>
      <c r="AC25" s="18"/>
      <c r="AD25" s="18"/>
      <c r="AE25" s="13"/>
      <c r="AF25" s="18"/>
      <c r="AG25" s="18"/>
      <c r="AH25" s="26"/>
      <c r="AI25" s="26"/>
      <c r="AJ25" s="22"/>
      <c r="AK25" s="27"/>
      <c r="AL25" s="33" t="s">
        <v>106</v>
      </c>
      <c r="AM25" s="32" t="s">
        <v>62</v>
      </c>
      <c r="AN25" s="9"/>
    </row>
    <row r="26" spans="2:40" s="7" customFormat="1" ht="52" customHeight="1" x14ac:dyDescent="0.35">
      <c r="B26" s="11">
        <v>23</v>
      </c>
      <c r="C26" s="12" t="s">
        <v>107</v>
      </c>
      <c r="D26" s="13" t="s">
        <v>39</v>
      </c>
      <c r="E26" s="14" t="s">
        <v>74</v>
      </c>
      <c r="F26" s="13" t="s">
        <v>108</v>
      </c>
      <c r="G26" s="14" t="s">
        <v>42</v>
      </c>
      <c r="H26" s="15"/>
      <c r="I26" s="15"/>
      <c r="J26" s="15"/>
      <c r="K26" s="17">
        <v>205620545</v>
      </c>
      <c r="L26" s="17">
        <v>228238805</v>
      </c>
      <c r="M26" s="19"/>
      <c r="N26" s="19" t="s">
        <v>109</v>
      </c>
      <c r="O26" s="18">
        <v>241869175</v>
      </c>
      <c r="P26" s="18">
        <v>268474784</v>
      </c>
      <c r="Q26" s="23" t="s">
        <v>110</v>
      </c>
      <c r="R26" s="23" t="s">
        <v>111</v>
      </c>
      <c r="S26" s="23"/>
      <c r="T26" s="23"/>
      <c r="U26" s="13"/>
      <c r="V26" s="19"/>
      <c r="W26" s="18"/>
      <c r="X26" s="18"/>
      <c r="Y26" s="18"/>
      <c r="Z26" s="18"/>
      <c r="AA26" s="143" t="s">
        <v>112</v>
      </c>
      <c r="AB26" s="139"/>
      <c r="AC26" s="139"/>
      <c r="AD26" s="139"/>
      <c r="AE26" s="139"/>
      <c r="AF26" s="139"/>
      <c r="AG26" s="18"/>
      <c r="AH26" s="26"/>
      <c r="AI26" s="26"/>
      <c r="AJ26" s="22"/>
      <c r="AK26" s="27"/>
      <c r="AL26" s="33" t="s">
        <v>113</v>
      </c>
      <c r="AM26" s="32" t="s">
        <v>108</v>
      </c>
      <c r="AN26" s="9"/>
    </row>
    <row r="27" spans="2:40" s="7" customFormat="1" ht="52" customHeight="1" x14ac:dyDescent="0.35">
      <c r="B27" s="11">
        <v>24</v>
      </c>
      <c r="C27" s="138" t="s">
        <v>114</v>
      </c>
      <c r="D27" s="13" t="s">
        <v>39</v>
      </c>
      <c r="E27" s="14" t="s">
        <v>98</v>
      </c>
      <c r="F27" s="13" t="s">
        <v>99</v>
      </c>
      <c r="G27" s="14" t="s">
        <v>42</v>
      </c>
      <c r="H27" s="15"/>
      <c r="I27" s="15"/>
      <c r="J27" s="15"/>
      <c r="K27" s="17"/>
      <c r="L27" s="17"/>
      <c r="M27" s="19"/>
      <c r="N27" s="19"/>
      <c r="O27" s="18"/>
      <c r="P27" s="18"/>
      <c r="Q27" s="23"/>
      <c r="R27" s="23"/>
      <c r="S27" s="23"/>
      <c r="T27" s="23"/>
      <c r="U27" s="13"/>
      <c r="V27" s="19"/>
      <c r="W27" s="18"/>
      <c r="X27" s="18"/>
      <c r="Y27" s="18"/>
      <c r="Z27" s="18"/>
      <c r="AA27" s="143" t="s">
        <v>115</v>
      </c>
      <c r="AB27" s="141"/>
      <c r="AC27" s="140"/>
      <c r="AD27" s="140"/>
      <c r="AE27" s="140"/>
      <c r="AF27" s="140"/>
      <c r="AG27" s="18"/>
      <c r="AH27" s="26"/>
      <c r="AI27" s="26"/>
      <c r="AJ27" s="22"/>
      <c r="AK27" s="27"/>
      <c r="AL27" s="33" t="s">
        <v>116</v>
      </c>
      <c r="AM27" s="32" t="s">
        <v>117</v>
      </c>
      <c r="AN27" s="9"/>
    </row>
    <row r="28" spans="2:40" s="7" customFormat="1" ht="52" customHeight="1" x14ac:dyDescent="0.35">
      <c r="B28" s="11">
        <v>25</v>
      </c>
      <c r="C28" s="12" t="s">
        <v>170</v>
      </c>
      <c r="D28" s="13" t="s">
        <v>39</v>
      </c>
      <c r="E28" s="14" t="s">
        <v>104</v>
      </c>
      <c r="F28" s="13" t="s">
        <v>62</v>
      </c>
      <c r="G28" s="14" t="s">
        <v>42</v>
      </c>
      <c r="H28" s="15"/>
      <c r="I28" s="15"/>
      <c r="J28" s="15"/>
      <c r="K28" s="17">
        <v>2000000</v>
      </c>
      <c r="L28" s="17">
        <v>1200000</v>
      </c>
      <c r="M28" s="19"/>
      <c r="N28" s="19" t="s">
        <v>109</v>
      </c>
      <c r="O28" s="18">
        <v>241869180</v>
      </c>
      <c r="P28" s="18">
        <v>268474790</v>
      </c>
      <c r="Q28" s="23" t="s">
        <v>110</v>
      </c>
      <c r="R28" s="23" t="s">
        <v>111</v>
      </c>
      <c r="S28" s="23"/>
      <c r="T28" s="23"/>
      <c r="U28" s="13"/>
      <c r="V28" s="19"/>
      <c r="W28" s="18"/>
      <c r="X28" s="18"/>
      <c r="Y28" s="18"/>
      <c r="Z28" s="18"/>
      <c r="AA28" s="143" t="s">
        <v>112</v>
      </c>
      <c r="AB28" s="139"/>
      <c r="AC28" s="139"/>
      <c r="AD28" s="139"/>
      <c r="AE28" s="139"/>
      <c r="AF28" s="139"/>
      <c r="AG28" s="18"/>
      <c r="AH28" s="26"/>
      <c r="AI28" s="26"/>
      <c r="AJ28" s="22"/>
      <c r="AK28" s="27"/>
      <c r="AL28" s="33" t="s">
        <v>113</v>
      </c>
      <c r="AM28" s="32" t="s">
        <v>108</v>
      </c>
      <c r="AN28" s="9"/>
    </row>
    <row r="29" spans="2:40" s="7" customFormat="1" ht="52" customHeight="1" x14ac:dyDescent="0.35">
      <c r="B29" s="11">
        <v>26</v>
      </c>
      <c r="C29" s="12"/>
      <c r="D29" s="13" t="s">
        <v>39</v>
      </c>
      <c r="E29" s="14"/>
      <c r="F29" s="13"/>
      <c r="G29" s="14"/>
      <c r="H29" s="15"/>
      <c r="I29" s="15"/>
      <c r="J29" s="15"/>
      <c r="K29" s="17"/>
      <c r="L29" s="17"/>
      <c r="M29" s="19"/>
      <c r="N29" s="19"/>
      <c r="O29" s="18"/>
      <c r="P29" s="18"/>
      <c r="Q29" s="23"/>
      <c r="R29" s="23"/>
      <c r="S29" s="23"/>
      <c r="T29" s="23"/>
      <c r="U29" s="13"/>
      <c r="V29" s="19"/>
      <c r="W29" s="18"/>
      <c r="X29" s="18"/>
      <c r="Y29" s="18"/>
      <c r="Z29" s="18"/>
      <c r="AA29" s="140"/>
      <c r="AB29" s="141"/>
      <c r="AC29" s="140"/>
      <c r="AD29" s="140"/>
      <c r="AE29" s="140"/>
      <c r="AF29" s="140"/>
      <c r="AG29" s="18"/>
      <c r="AH29" s="26"/>
      <c r="AI29" s="26"/>
      <c r="AJ29" s="22"/>
      <c r="AK29" s="27"/>
      <c r="AL29" s="33"/>
      <c r="AM29" s="32"/>
      <c r="AN29" s="9"/>
    </row>
    <row r="30" spans="2:40" s="7" customFormat="1" ht="52" customHeight="1" x14ac:dyDescent="0.35">
      <c r="B30" s="11">
        <v>27</v>
      </c>
      <c r="C30" s="12"/>
      <c r="D30" s="13" t="s">
        <v>39</v>
      </c>
      <c r="E30" s="14"/>
      <c r="F30" s="13"/>
      <c r="G30" s="14"/>
      <c r="H30" s="15"/>
      <c r="I30" s="15"/>
      <c r="J30" s="15"/>
      <c r="K30" s="17"/>
      <c r="L30" s="17"/>
      <c r="M30" s="19"/>
      <c r="N30" s="19"/>
      <c r="O30" s="18"/>
      <c r="P30" s="18"/>
      <c r="Q30" s="23"/>
      <c r="R30" s="23"/>
      <c r="S30" s="23"/>
      <c r="T30" s="23"/>
      <c r="U30" s="13"/>
      <c r="V30" s="19"/>
      <c r="W30" s="18"/>
      <c r="X30" s="18"/>
      <c r="Y30" s="18"/>
      <c r="Z30" s="18"/>
      <c r="AA30" s="140"/>
      <c r="AB30" s="141"/>
      <c r="AC30" s="140"/>
      <c r="AD30" s="140"/>
      <c r="AE30" s="140"/>
      <c r="AF30" s="140"/>
      <c r="AG30" s="18"/>
      <c r="AH30" s="26"/>
      <c r="AI30" s="26"/>
      <c r="AJ30" s="22"/>
      <c r="AK30" s="27"/>
      <c r="AL30" s="33"/>
      <c r="AM30" s="32"/>
      <c r="AN30" s="9"/>
    </row>
    <row r="31" spans="2:40" s="7" customFormat="1" ht="52" customHeight="1" x14ac:dyDescent="0.35">
      <c r="B31" s="11">
        <v>28</v>
      </c>
      <c r="C31" s="12"/>
      <c r="D31" s="13" t="s">
        <v>39</v>
      </c>
      <c r="E31" s="14"/>
      <c r="F31" s="13"/>
      <c r="G31" s="14"/>
      <c r="H31" s="15"/>
      <c r="I31" s="15"/>
      <c r="J31" s="15"/>
      <c r="K31" s="17"/>
      <c r="L31" s="17"/>
      <c r="M31" s="19"/>
      <c r="N31" s="19"/>
      <c r="O31" s="18"/>
      <c r="P31" s="18"/>
      <c r="Q31" s="23"/>
      <c r="R31" s="23"/>
      <c r="S31" s="23"/>
      <c r="T31" s="23"/>
      <c r="U31" s="13"/>
      <c r="V31" s="19"/>
      <c r="W31" s="18"/>
      <c r="X31" s="18"/>
      <c r="Y31" s="18"/>
      <c r="Z31" s="18"/>
      <c r="AA31" s="140"/>
      <c r="AB31" s="141"/>
      <c r="AC31" s="140"/>
      <c r="AD31" s="140"/>
      <c r="AE31" s="140"/>
      <c r="AF31" s="140"/>
      <c r="AG31" s="18"/>
      <c r="AH31" s="26"/>
      <c r="AI31" s="26"/>
      <c r="AJ31" s="22"/>
      <c r="AK31" s="27"/>
      <c r="AL31" s="33"/>
      <c r="AM31" s="32"/>
      <c r="AN31" s="9"/>
    </row>
    <row r="32" spans="2:40" s="7" customFormat="1" ht="52" customHeight="1" x14ac:dyDescent="0.35">
      <c r="B32" s="11">
        <v>29</v>
      </c>
      <c r="C32" s="12"/>
      <c r="D32" s="13" t="s">
        <v>39</v>
      </c>
      <c r="E32" s="14"/>
      <c r="F32" s="13"/>
      <c r="G32" s="14"/>
      <c r="H32" s="15"/>
      <c r="I32" s="15"/>
      <c r="J32" s="15"/>
      <c r="K32" s="17"/>
      <c r="L32" s="17"/>
      <c r="M32" s="19"/>
      <c r="N32" s="19"/>
      <c r="O32" s="18"/>
      <c r="P32" s="18"/>
      <c r="Q32" s="23"/>
      <c r="R32" s="23"/>
      <c r="S32" s="23"/>
      <c r="T32" s="23"/>
      <c r="U32" s="13"/>
      <c r="V32" s="19"/>
      <c r="W32" s="18"/>
      <c r="X32" s="18"/>
      <c r="Y32" s="18"/>
      <c r="Z32" s="18"/>
      <c r="AA32" s="140"/>
      <c r="AB32" s="141"/>
      <c r="AC32" s="140"/>
      <c r="AD32" s="140"/>
      <c r="AE32" s="140"/>
      <c r="AF32" s="140"/>
      <c r="AG32" s="18"/>
      <c r="AH32" s="26"/>
      <c r="AI32" s="26"/>
      <c r="AJ32" s="22"/>
      <c r="AK32" s="27"/>
      <c r="AL32" s="33"/>
      <c r="AM32" s="32"/>
      <c r="AN32" s="9"/>
    </row>
    <row r="33" spans="2:40" s="7" customFormat="1" ht="52" customHeight="1" x14ac:dyDescent="0.35">
      <c r="B33" s="11">
        <v>30</v>
      </c>
      <c r="C33" s="12"/>
      <c r="D33" s="13" t="s">
        <v>39</v>
      </c>
      <c r="E33" s="14"/>
      <c r="F33" s="13"/>
      <c r="G33" s="14"/>
      <c r="H33" s="15"/>
      <c r="I33" s="15"/>
      <c r="J33" s="15"/>
      <c r="K33" s="17"/>
      <c r="L33" s="17"/>
      <c r="M33" s="19"/>
      <c r="N33" s="19"/>
      <c r="O33" s="18"/>
      <c r="P33" s="18"/>
      <c r="Q33" s="23"/>
      <c r="R33" s="23"/>
      <c r="S33" s="23"/>
      <c r="T33" s="23"/>
      <c r="U33" s="13"/>
      <c r="V33" s="19"/>
      <c r="W33" s="18"/>
      <c r="X33" s="18"/>
      <c r="Y33" s="18"/>
      <c r="Z33" s="18"/>
      <c r="AA33" s="140"/>
      <c r="AB33" s="141"/>
      <c r="AC33" s="140"/>
      <c r="AD33" s="140"/>
      <c r="AE33" s="140"/>
      <c r="AF33" s="140"/>
      <c r="AG33" s="18"/>
      <c r="AH33" s="26"/>
      <c r="AI33" s="26"/>
      <c r="AJ33" s="22"/>
      <c r="AK33" s="27"/>
      <c r="AL33" s="33"/>
      <c r="AM33" s="32"/>
      <c r="AN33" s="9"/>
    </row>
    <row r="34" spans="2:40" s="7" customFormat="1" ht="52" customHeight="1" x14ac:dyDescent="0.35">
      <c r="B34" s="11">
        <v>31</v>
      </c>
      <c r="C34" s="12"/>
      <c r="D34" s="13" t="s">
        <v>39</v>
      </c>
      <c r="E34" s="14"/>
      <c r="F34" s="13"/>
      <c r="G34" s="14"/>
      <c r="H34" s="15"/>
      <c r="I34" s="15"/>
      <c r="J34" s="15"/>
      <c r="K34" s="17"/>
      <c r="L34" s="17"/>
      <c r="M34" s="19"/>
      <c r="N34" s="19"/>
      <c r="O34" s="18"/>
      <c r="P34" s="18"/>
      <c r="Q34" s="23"/>
      <c r="R34" s="23"/>
      <c r="S34" s="23"/>
      <c r="T34" s="23"/>
      <c r="U34" s="13"/>
      <c r="V34" s="19"/>
      <c r="W34" s="18"/>
      <c r="X34" s="18"/>
      <c r="Y34" s="18"/>
      <c r="Z34" s="18"/>
      <c r="AA34" s="140"/>
      <c r="AB34" s="141"/>
      <c r="AC34" s="140"/>
      <c r="AD34" s="140"/>
      <c r="AE34" s="140"/>
      <c r="AF34" s="140"/>
      <c r="AG34" s="18"/>
      <c r="AH34" s="26"/>
      <c r="AI34" s="26"/>
      <c r="AJ34" s="22"/>
      <c r="AK34" s="27"/>
      <c r="AL34" s="33"/>
      <c r="AM34" s="32"/>
      <c r="AN34" s="9"/>
    </row>
    <row r="35" spans="2:40" s="7" customFormat="1" ht="52" customHeight="1" x14ac:dyDescent="0.35">
      <c r="B35" s="11">
        <v>32</v>
      </c>
      <c r="C35" s="12"/>
      <c r="D35" s="13" t="s">
        <v>39</v>
      </c>
      <c r="E35" s="14"/>
      <c r="F35" s="13"/>
      <c r="G35" s="14"/>
      <c r="H35" s="15"/>
      <c r="I35" s="15"/>
      <c r="J35" s="15"/>
      <c r="K35" s="17"/>
      <c r="L35" s="17"/>
      <c r="M35" s="19"/>
      <c r="N35" s="19"/>
      <c r="O35" s="18"/>
      <c r="P35" s="18"/>
      <c r="Q35" s="23"/>
      <c r="R35" s="23"/>
      <c r="S35" s="23"/>
      <c r="T35" s="23"/>
      <c r="U35" s="13"/>
      <c r="V35" s="19"/>
      <c r="W35" s="18"/>
      <c r="X35" s="18"/>
      <c r="Y35" s="18"/>
      <c r="Z35" s="18"/>
      <c r="AA35" s="140"/>
      <c r="AB35" s="141"/>
      <c r="AC35" s="140"/>
      <c r="AD35" s="140"/>
      <c r="AE35" s="140"/>
      <c r="AF35" s="140"/>
      <c r="AG35" s="18"/>
      <c r="AH35" s="26"/>
      <c r="AI35" s="26"/>
      <c r="AJ35" s="22"/>
      <c r="AK35" s="27"/>
      <c r="AL35" s="33"/>
      <c r="AM35" s="32"/>
      <c r="AN35" s="9"/>
    </row>
    <row r="36" spans="2:40" s="7" customFormat="1" ht="52" customHeight="1" x14ac:dyDescent="0.35">
      <c r="B36" s="11">
        <v>33</v>
      </c>
      <c r="C36" s="12"/>
      <c r="D36" s="13" t="s">
        <v>39</v>
      </c>
      <c r="E36" s="14"/>
      <c r="F36" s="13"/>
      <c r="G36" s="14"/>
      <c r="H36" s="15"/>
      <c r="I36" s="15"/>
      <c r="J36" s="15"/>
      <c r="K36" s="17"/>
      <c r="L36" s="17"/>
      <c r="M36" s="19"/>
      <c r="N36" s="19"/>
      <c r="O36" s="18"/>
      <c r="P36" s="18"/>
      <c r="Q36" s="23"/>
      <c r="R36" s="23"/>
      <c r="S36" s="23"/>
      <c r="T36" s="23"/>
      <c r="U36" s="13"/>
      <c r="V36" s="19"/>
      <c r="W36" s="18"/>
      <c r="X36" s="18"/>
      <c r="Y36" s="18"/>
      <c r="Z36" s="18"/>
      <c r="AA36" s="140"/>
      <c r="AB36" s="141"/>
      <c r="AC36" s="140"/>
      <c r="AD36" s="140"/>
      <c r="AE36" s="140"/>
      <c r="AF36" s="140"/>
      <c r="AG36" s="18"/>
      <c r="AH36" s="26"/>
      <c r="AI36" s="26"/>
      <c r="AJ36" s="22"/>
      <c r="AK36" s="27"/>
      <c r="AL36" s="33"/>
      <c r="AM36" s="32"/>
      <c r="AN36" s="9"/>
    </row>
    <row r="37" spans="2:40" s="7" customFormat="1" ht="52" customHeight="1" thickBot="1" x14ac:dyDescent="0.4">
      <c r="B37" s="11">
        <v>34</v>
      </c>
      <c r="C37" s="12"/>
      <c r="D37" s="13" t="s">
        <v>39</v>
      </c>
      <c r="E37" s="14"/>
      <c r="F37" s="13"/>
      <c r="G37" s="14"/>
      <c r="H37" s="15"/>
      <c r="I37" s="15"/>
      <c r="J37" s="15"/>
      <c r="K37" s="17"/>
      <c r="L37" s="17"/>
      <c r="M37" s="19"/>
      <c r="N37" s="19"/>
      <c r="O37" s="18"/>
      <c r="P37" s="18"/>
      <c r="Q37" s="23"/>
      <c r="R37" s="23"/>
      <c r="S37" s="23"/>
      <c r="T37" s="23"/>
      <c r="U37" s="13"/>
      <c r="V37" s="19"/>
      <c r="W37" s="18"/>
      <c r="X37" s="18"/>
      <c r="Y37" s="18"/>
      <c r="Z37" s="18"/>
      <c r="AA37" s="140"/>
      <c r="AB37" s="141"/>
      <c r="AC37" s="140"/>
      <c r="AD37" s="140"/>
      <c r="AE37" s="140"/>
      <c r="AF37" s="140"/>
      <c r="AG37" s="18"/>
      <c r="AH37" s="26"/>
      <c r="AI37" s="26"/>
      <c r="AJ37" s="22"/>
      <c r="AK37" s="27"/>
      <c r="AL37" s="33"/>
      <c r="AM37" s="32"/>
      <c r="AN37" s="9"/>
    </row>
    <row r="38" spans="2:40" s="7" customFormat="1" ht="71" customHeight="1" thickBot="1" x14ac:dyDescent="0.4">
      <c r="B38" s="149" t="s">
        <v>118</v>
      </c>
      <c r="C38" s="150"/>
      <c r="D38" s="150"/>
      <c r="E38" s="150"/>
      <c r="F38" s="150"/>
      <c r="G38" s="150"/>
      <c r="H38" s="151"/>
      <c r="I38" s="112"/>
      <c r="J38" s="112"/>
      <c r="K38" s="123">
        <f>SUM(K4:K27)</f>
        <v>8649710745</v>
      </c>
      <c r="L38" s="124">
        <f>SUM(L4:L27)</f>
        <v>9601178927</v>
      </c>
      <c r="M38" s="114"/>
      <c r="N38" s="113"/>
      <c r="O38" s="115">
        <f>SUM(O4:O27)</f>
        <v>14971821690</v>
      </c>
      <c r="P38" s="115">
        <f>SUM(P4:P27)</f>
        <v>16618722076</v>
      </c>
      <c r="Q38" s="116"/>
      <c r="R38" s="116"/>
      <c r="S38" s="116"/>
      <c r="T38" s="116"/>
      <c r="U38" s="116"/>
      <c r="V38" s="113"/>
      <c r="W38" s="115">
        <f>SUM(W4:W21)</f>
        <v>2323092600</v>
      </c>
      <c r="X38" s="115">
        <f>SUM(X4:X21)</f>
        <v>2578632786</v>
      </c>
      <c r="Y38" s="113">
        <f>SUM(Y4:Y21)</f>
        <v>0</v>
      </c>
      <c r="Z38" s="113">
        <f>SUM(Z4:Z21)</f>
        <v>0</v>
      </c>
      <c r="AA38" s="140"/>
      <c r="AB38" s="141"/>
      <c r="AC38" s="140">
        <f>SUM(AC4:AC21)</f>
        <v>430890000</v>
      </c>
      <c r="AD38" s="140">
        <f>SUM(AD4:AD21)</f>
        <v>478287900</v>
      </c>
      <c r="AE38" s="140"/>
      <c r="AF38" s="140">
        <f>SUM(AF4:AF21)</f>
        <v>0</v>
      </c>
      <c r="AG38" s="113"/>
      <c r="AH38" s="117"/>
      <c r="AI38" s="117"/>
      <c r="AJ38" s="118"/>
      <c r="AK38" s="119"/>
      <c r="AL38" s="142"/>
      <c r="AM38" s="120"/>
      <c r="AN38" s="8"/>
    </row>
    <row r="39" spans="2:40" x14ac:dyDescent="0.35">
      <c r="AA39" s="140"/>
      <c r="AB39" s="141"/>
      <c r="AC39" s="140"/>
      <c r="AD39" s="140"/>
      <c r="AE39" s="140"/>
      <c r="AF39" s="140"/>
    </row>
    <row r="40" spans="2:40" x14ac:dyDescent="0.35">
      <c r="AA40" s="140"/>
      <c r="AB40" s="141"/>
      <c r="AC40" s="140"/>
      <c r="AD40" s="140"/>
      <c r="AE40" s="140"/>
      <c r="AF40" s="140"/>
    </row>
    <row r="41" spans="2:40" x14ac:dyDescent="0.35">
      <c r="AA41" s="140"/>
      <c r="AB41" s="141"/>
      <c r="AC41" s="140"/>
      <c r="AD41" s="140"/>
      <c r="AE41" s="140"/>
      <c r="AF41" s="140"/>
    </row>
    <row r="42" spans="2:40" x14ac:dyDescent="0.35">
      <c r="AA42" s="140"/>
      <c r="AB42" s="141"/>
      <c r="AC42" s="140"/>
      <c r="AD42" s="140"/>
      <c r="AE42" s="140"/>
      <c r="AF42" s="140"/>
    </row>
    <row r="43" spans="2:40" x14ac:dyDescent="0.35">
      <c r="AA43" s="140"/>
      <c r="AB43" s="141"/>
      <c r="AC43" s="140"/>
      <c r="AD43" s="140"/>
      <c r="AE43" s="140"/>
      <c r="AF43" s="140"/>
    </row>
    <row r="44" spans="2:40" x14ac:dyDescent="0.35">
      <c r="AA44" s="140"/>
      <c r="AB44" s="141"/>
      <c r="AC44" s="140"/>
      <c r="AD44" s="140"/>
      <c r="AE44" s="140"/>
      <c r="AF44" s="140"/>
    </row>
    <row r="45" spans="2:40" x14ac:dyDescent="0.35">
      <c r="AA45" s="140"/>
      <c r="AB45" s="141"/>
      <c r="AC45" s="140"/>
      <c r="AD45" s="140"/>
      <c r="AE45" s="140"/>
      <c r="AF45" s="140"/>
    </row>
    <row r="46" spans="2:40" x14ac:dyDescent="0.35">
      <c r="AA46" s="140"/>
      <c r="AB46" s="141"/>
      <c r="AC46" s="140"/>
      <c r="AD46" s="140"/>
      <c r="AE46" s="140"/>
      <c r="AF46" s="140"/>
    </row>
    <row r="47" spans="2:40" x14ac:dyDescent="0.35">
      <c r="AA47" s="140"/>
      <c r="AB47" s="141"/>
      <c r="AC47" s="140"/>
      <c r="AD47" s="140"/>
      <c r="AE47" s="140"/>
      <c r="AF47" s="140"/>
    </row>
    <row r="48" spans="2:40" x14ac:dyDescent="0.35">
      <c r="AA48" s="140"/>
      <c r="AB48" s="141"/>
      <c r="AC48" s="140"/>
      <c r="AD48" s="140"/>
      <c r="AE48" s="140"/>
      <c r="AF48" s="140"/>
    </row>
    <row r="49" spans="27:32" x14ac:dyDescent="0.35">
      <c r="AA49" s="140"/>
      <c r="AB49" s="141"/>
      <c r="AC49" s="140"/>
      <c r="AD49" s="140"/>
      <c r="AE49" s="140"/>
      <c r="AF49" s="140"/>
    </row>
    <row r="50" spans="27:32" x14ac:dyDescent="0.35">
      <c r="AA50" s="140"/>
      <c r="AB50" s="141"/>
      <c r="AC50" s="140"/>
      <c r="AD50" s="140"/>
      <c r="AE50" s="140"/>
      <c r="AF50" s="140"/>
    </row>
    <row r="51" spans="27:32" x14ac:dyDescent="0.35">
      <c r="AA51" s="140"/>
      <c r="AB51" s="141"/>
      <c r="AC51" s="140"/>
      <c r="AD51" s="140"/>
      <c r="AE51" s="140"/>
      <c r="AF51" s="140"/>
    </row>
    <row r="52" spans="27:32" x14ac:dyDescent="0.35">
      <c r="AA52" s="140"/>
      <c r="AB52" s="141"/>
      <c r="AC52" s="140"/>
      <c r="AD52" s="140"/>
      <c r="AE52" s="140"/>
      <c r="AF52" s="140"/>
    </row>
    <row r="53" spans="27:32" x14ac:dyDescent="0.35">
      <c r="AA53" s="140"/>
      <c r="AB53" s="141"/>
      <c r="AC53" s="140"/>
      <c r="AD53" s="140"/>
      <c r="AE53" s="140"/>
      <c r="AF53" s="140"/>
    </row>
    <row r="54" spans="27:32" x14ac:dyDescent="0.35">
      <c r="AA54" s="140"/>
      <c r="AB54" s="141"/>
      <c r="AC54" s="140"/>
      <c r="AD54" s="140"/>
      <c r="AE54" s="140"/>
      <c r="AF54" s="140"/>
    </row>
    <row r="55" spans="27:32" x14ac:dyDescent="0.35">
      <c r="AA55" s="140"/>
      <c r="AB55" s="141"/>
      <c r="AC55" s="140"/>
      <c r="AD55" s="140"/>
      <c r="AE55" s="140"/>
      <c r="AF55" s="140"/>
    </row>
    <row r="56" spans="27:32" x14ac:dyDescent="0.35">
      <c r="AA56" s="140"/>
      <c r="AB56" s="141"/>
      <c r="AC56" s="140"/>
      <c r="AD56" s="140"/>
      <c r="AE56" s="140"/>
      <c r="AF56" s="140"/>
    </row>
    <row r="57" spans="27:32" x14ac:dyDescent="0.35">
      <c r="AA57" s="140"/>
      <c r="AB57" s="141"/>
      <c r="AC57" s="140"/>
      <c r="AD57" s="140"/>
      <c r="AE57" s="140"/>
      <c r="AF57" s="140"/>
    </row>
    <row r="58" spans="27:32" x14ac:dyDescent="0.35">
      <c r="AA58" s="140"/>
      <c r="AB58" s="141"/>
      <c r="AC58" s="140"/>
      <c r="AD58" s="140"/>
      <c r="AE58" s="140"/>
      <c r="AF58" s="140"/>
    </row>
    <row r="59" spans="27:32" x14ac:dyDescent="0.35">
      <c r="AA59" s="140"/>
      <c r="AB59" s="141"/>
      <c r="AC59" s="140"/>
      <c r="AD59" s="140"/>
      <c r="AE59" s="140"/>
      <c r="AF59" s="140"/>
    </row>
    <row r="60" spans="27:32" x14ac:dyDescent="0.35">
      <c r="AA60" s="140"/>
      <c r="AB60" s="141"/>
      <c r="AC60" s="140"/>
      <c r="AD60" s="140"/>
      <c r="AE60" s="140"/>
      <c r="AF60" s="140"/>
    </row>
    <row r="61" spans="27:32" x14ac:dyDescent="0.35">
      <c r="AA61" s="140"/>
      <c r="AB61" s="141"/>
      <c r="AC61" s="140"/>
      <c r="AD61" s="140"/>
      <c r="AE61" s="140"/>
      <c r="AF61" s="140"/>
    </row>
    <row r="62" spans="27:32" x14ac:dyDescent="0.35">
      <c r="AA62" s="140"/>
      <c r="AB62" s="141"/>
      <c r="AC62" s="140"/>
      <c r="AD62" s="140"/>
      <c r="AE62" s="140"/>
      <c r="AF62" s="140"/>
    </row>
    <row r="63" spans="27:32" x14ac:dyDescent="0.35">
      <c r="AA63" s="140"/>
      <c r="AB63" s="141"/>
      <c r="AC63" s="140"/>
      <c r="AD63" s="140"/>
      <c r="AE63" s="140"/>
      <c r="AF63" s="140"/>
    </row>
    <row r="64" spans="27:32" x14ac:dyDescent="0.35">
      <c r="AA64" s="140"/>
      <c r="AB64" s="141"/>
      <c r="AC64" s="140"/>
      <c r="AD64" s="140"/>
      <c r="AE64" s="140"/>
      <c r="AF64" s="140"/>
    </row>
    <row r="65" spans="27:32" x14ac:dyDescent="0.35">
      <c r="AA65" s="140"/>
      <c r="AB65" s="141"/>
      <c r="AC65" s="140"/>
      <c r="AD65" s="140"/>
      <c r="AE65" s="140"/>
      <c r="AF65" s="140"/>
    </row>
    <row r="66" spans="27:32" x14ac:dyDescent="0.35">
      <c r="AA66" s="140"/>
      <c r="AB66" s="141"/>
      <c r="AC66" s="140"/>
      <c r="AD66" s="140"/>
      <c r="AE66" s="140"/>
      <c r="AF66" s="140"/>
    </row>
    <row r="67" spans="27:32" x14ac:dyDescent="0.35">
      <c r="AA67" s="140"/>
      <c r="AB67" s="141"/>
      <c r="AC67" s="140"/>
      <c r="AD67" s="140"/>
      <c r="AE67" s="140"/>
      <c r="AF67" s="140"/>
    </row>
    <row r="68" spans="27:32" x14ac:dyDescent="0.35">
      <c r="AA68" s="140"/>
      <c r="AB68" s="141"/>
      <c r="AC68" s="140"/>
      <c r="AD68" s="140"/>
      <c r="AE68" s="140"/>
      <c r="AF68" s="140"/>
    </row>
    <row r="69" spans="27:32" x14ac:dyDescent="0.35">
      <c r="AA69" s="140"/>
      <c r="AB69" s="141"/>
      <c r="AC69" s="140"/>
      <c r="AD69" s="140"/>
      <c r="AE69" s="140"/>
      <c r="AF69" s="140"/>
    </row>
    <row r="70" spans="27:32" x14ac:dyDescent="0.35">
      <c r="AA70" s="140"/>
      <c r="AB70" s="141"/>
      <c r="AC70" s="140"/>
      <c r="AD70" s="140"/>
      <c r="AE70" s="140"/>
      <c r="AF70" s="140"/>
    </row>
    <row r="71" spans="27:32" x14ac:dyDescent="0.35">
      <c r="AA71" s="140"/>
      <c r="AB71" s="141"/>
      <c r="AC71" s="140"/>
      <c r="AD71" s="140"/>
      <c r="AE71" s="140"/>
      <c r="AF71" s="140"/>
    </row>
    <row r="72" spans="27:32" x14ac:dyDescent="0.35">
      <c r="AA72" s="140"/>
      <c r="AB72" s="141"/>
      <c r="AC72" s="140"/>
      <c r="AD72" s="140"/>
      <c r="AE72" s="140"/>
      <c r="AF72" s="140"/>
    </row>
    <row r="73" spans="27:32" x14ac:dyDescent="0.35">
      <c r="AA73" s="140"/>
      <c r="AB73" s="141"/>
      <c r="AC73" s="140"/>
      <c r="AD73" s="140"/>
      <c r="AE73" s="140"/>
      <c r="AF73" s="140"/>
    </row>
    <row r="74" spans="27:32" x14ac:dyDescent="0.35">
      <c r="AA74" s="140"/>
      <c r="AB74" s="141"/>
      <c r="AC74" s="140"/>
      <c r="AD74" s="140"/>
      <c r="AE74" s="140"/>
      <c r="AF74" s="140"/>
    </row>
  </sheetData>
  <mergeCells count="3">
    <mergeCell ref="E2:AM2"/>
    <mergeCell ref="B38:H38"/>
    <mergeCell ref="B2:D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H31"/>
  <sheetViews>
    <sheetView topLeftCell="C1" zoomScale="70" zoomScaleNormal="70" workbookViewId="0">
      <selection activeCell="G15" sqref="G15"/>
    </sheetView>
  </sheetViews>
  <sheetFormatPr defaultRowHeight="14.5" x14ac:dyDescent="0.35"/>
  <cols>
    <col min="3" max="3" width="28.453125" customWidth="1"/>
    <col min="4" max="4" width="27.81640625" customWidth="1"/>
    <col min="5" max="5" width="29.08984375" customWidth="1"/>
    <col min="6" max="6" width="27.90625" customWidth="1"/>
    <col min="7" max="7" width="28.6328125" customWidth="1"/>
    <col min="8" max="8" width="26.90625" customWidth="1"/>
  </cols>
  <sheetData>
    <row r="5" spans="3:8" ht="31" customHeight="1" x14ac:dyDescent="0.35">
      <c r="C5" s="33" t="s">
        <v>119</v>
      </c>
      <c r="D5" s="50" t="s">
        <v>120</v>
      </c>
      <c r="E5" s="33" t="s">
        <v>121</v>
      </c>
      <c r="F5" s="50" t="s">
        <v>122</v>
      </c>
      <c r="G5" s="33" t="s">
        <v>123</v>
      </c>
      <c r="H5" s="50" t="s">
        <v>124</v>
      </c>
    </row>
    <row r="6" spans="3:8" x14ac:dyDescent="0.35">
      <c r="C6" s="45">
        <v>24000000000</v>
      </c>
      <c r="D6" s="48">
        <f>Monitoring!P38</f>
        <v>16618722076</v>
      </c>
      <c r="E6" s="45">
        <v>13100000000</v>
      </c>
      <c r="F6" s="48">
        <f>Monitoring!P38</f>
        <v>16618722076</v>
      </c>
      <c r="G6" s="45">
        <v>22610000000</v>
      </c>
      <c r="H6" s="48">
        <f>Monitoring!P38</f>
        <v>16618722076</v>
      </c>
    </row>
    <row r="7" spans="3:8" x14ac:dyDescent="0.35">
      <c r="C7" s="46">
        <v>1</v>
      </c>
      <c r="D7" s="49">
        <f>(D6/C6)</f>
        <v>0.69244675316666671</v>
      </c>
      <c r="E7" s="46">
        <v>1</v>
      </c>
      <c r="F7" s="49">
        <f>F6/E6</f>
        <v>1.2686047386259542</v>
      </c>
      <c r="G7" s="46">
        <v>1</v>
      </c>
      <c r="H7" s="49">
        <f>H6/G6</f>
        <v>0.73501645625829282</v>
      </c>
    </row>
    <row r="8" spans="3:8" ht="31" customHeight="1" x14ac:dyDescent="0.35">
      <c r="C8" s="51" t="s">
        <v>125</v>
      </c>
      <c r="D8" s="50" t="s">
        <v>126</v>
      </c>
      <c r="E8" s="51" t="s">
        <v>125</v>
      </c>
      <c r="F8" s="50" t="s">
        <v>122</v>
      </c>
      <c r="G8" s="51" t="s">
        <v>125</v>
      </c>
      <c r="H8" s="50" t="s">
        <v>127</v>
      </c>
    </row>
    <row r="9" spans="3:8" x14ac:dyDescent="0.35">
      <c r="C9" s="47">
        <f>C6-D6</f>
        <v>7381277924</v>
      </c>
      <c r="D9" s="73">
        <f>D6</f>
        <v>16618722076</v>
      </c>
      <c r="E9" s="47">
        <f>F6-E6</f>
        <v>3518722076</v>
      </c>
      <c r="F9" s="73">
        <f>F6</f>
        <v>16618722076</v>
      </c>
      <c r="G9" s="47">
        <f>G6-H6</f>
        <v>5991277924</v>
      </c>
      <c r="H9" s="73">
        <f>H6</f>
        <v>16618722076</v>
      </c>
    </row>
    <row r="10" spans="3:8" x14ac:dyDescent="0.35">
      <c r="C10" s="72">
        <f>D7-C7</f>
        <v>-0.30755324683333329</v>
      </c>
      <c r="D10" s="74">
        <f>D7</f>
        <v>0.69244675316666671</v>
      </c>
      <c r="E10" s="75">
        <f>F7-E7</f>
        <v>0.26860473862595424</v>
      </c>
      <c r="F10" s="74">
        <f>F7</f>
        <v>1.2686047386259542</v>
      </c>
      <c r="G10" s="75">
        <f>H7-G7</f>
        <v>-0.26498354374170718</v>
      </c>
      <c r="H10" s="74">
        <f>H7</f>
        <v>0.73501645625829282</v>
      </c>
    </row>
    <row r="11" spans="3:8" x14ac:dyDescent="0.35">
      <c r="E11" s="71"/>
      <c r="F11" s="70"/>
    </row>
    <row r="15" spans="3:8" ht="15.5" customHeight="1" x14ac:dyDescent="0.35">
      <c r="C15" s="33" t="s">
        <v>128</v>
      </c>
      <c r="D15" s="50" t="s">
        <v>129</v>
      </c>
      <c r="E15" s="51" t="s">
        <v>130</v>
      </c>
    </row>
    <row r="16" spans="3:8" x14ac:dyDescent="0.35">
      <c r="C16" s="45">
        <v>24000000000</v>
      </c>
      <c r="D16" s="45">
        <f>Monitoring!P38</f>
        <v>16618722076</v>
      </c>
      <c r="E16" s="68">
        <f>C16-D16</f>
        <v>7381277924</v>
      </c>
    </row>
    <row r="17" spans="3:7" x14ac:dyDescent="0.35">
      <c r="C17" s="46">
        <v>1</v>
      </c>
      <c r="D17" s="88">
        <f>(D16/C16)</f>
        <v>0.69244675316666671</v>
      </c>
      <c r="E17" s="89">
        <f>D17-C17</f>
        <v>-0.30755324683333329</v>
      </c>
    </row>
    <row r="19" spans="3:7" ht="15.5" customHeight="1" x14ac:dyDescent="0.35">
      <c r="C19" s="33" t="s">
        <v>131</v>
      </c>
      <c r="D19" s="50" t="s">
        <v>132</v>
      </c>
      <c r="E19" s="51" t="s">
        <v>130</v>
      </c>
    </row>
    <row r="20" spans="3:7" x14ac:dyDescent="0.35">
      <c r="C20" s="45">
        <f>C16</f>
        <v>24000000000</v>
      </c>
      <c r="D20" s="48">
        <f>Monitoring!P38</f>
        <v>16618722076</v>
      </c>
      <c r="E20" s="68">
        <f>C20-D20</f>
        <v>7381277924</v>
      </c>
    </row>
    <row r="21" spans="3:7" x14ac:dyDescent="0.35">
      <c r="C21" s="46">
        <v>1</v>
      </c>
      <c r="D21" s="49">
        <f>D20/C20</f>
        <v>0.69244675316666671</v>
      </c>
      <c r="E21" s="69">
        <f>D21-C21</f>
        <v>-0.30755324683333329</v>
      </c>
    </row>
    <row r="24" spans="3:7" ht="15.5" customHeight="1" x14ac:dyDescent="0.35">
      <c r="C24" s="33" t="s">
        <v>133</v>
      </c>
      <c r="D24" s="50" t="s">
        <v>134</v>
      </c>
      <c r="E24" s="51" t="s">
        <v>130</v>
      </c>
    </row>
    <row r="25" spans="3:7" x14ac:dyDescent="0.35">
      <c r="C25" s="45">
        <v>24000000000</v>
      </c>
      <c r="D25" s="48">
        <f>Monitoring!P38</f>
        <v>16618722076</v>
      </c>
      <c r="E25" s="68">
        <f>C25-D25</f>
        <v>7381277924</v>
      </c>
    </row>
    <row r="26" spans="3:7" x14ac:dyDescent="0.35">
      <c r="C26" s="46">
        <v>1</v>
      </c>
      <c r="D26" s="49">
        <f>D25/C25</f>
        <v>0.69244675316666671</v>
      </c>
      <c r="E26" s="69">
        <f>D26-C26</f>
        <v>-0.30755324683333329</v>
      </c>
    </row>
    <row r="31" spans="3:7" x14ac:dyDescent="0.35">
      <c r="G31" s="76"/>
    </row>
  </sheetData>
  <pageMargins left="0.7" right="0.7" top="0.75" bottom="0.75" header="0.3" footer="0.3"/>
  <pageSetup orientation="portrait" horizontalDpi="360" verticalDpi="3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zoomScale="70" zoomScaleNormal="70" workbookViewId="0">
      <pane xSplit="4" ySplit="1" topLeftCell="G2" activePane="bottomRight" state="frozen"/>
      <selection pane="topRight" activeCell="I1" sqref="I1"/>
      <selection pane="bottomLeft" activeCell="A3" sqref="A3"/>
      <selection pane="bottomRight" activeCell="H5" sqref="H5"/>
    </sheetView>
  </sheetViews>
  <sheetFormatPr defaultColWidth="8.81640625" defaultRowHeight="15.5" x14ac:dyDescent="0.35"/>
  <cols>
    <col min="1" max="1" width="8.81640625" style="1" customWidth="1"/>
    <col min="2" max="2" width="13.90625" style="2" customWidth="1"/>
    <col min="3" max="3" width="54.6328125" style="3" customWidth="1"/>
    <col min="4" max="4" width="14.36328125" style="2" customWidth="1"/>
    <col min="5" max="5" width="38.36328125" style="2" customWidth="1"/>
    <col min="6" max="6" width="35.90625" style="2" customWidth="1"/>
    <col min="7" max="7" width="35.1796875" style="2" bestFit="1" customWidth="1"/>
    <col min="8" max="8" width="40.26953125" style="2" customWidth="1"/>
    <col min="9" max="9" width="28.6328125" style="2" customWidth="1"/>
    <col min="10" max="10" width="40.54296875" style="2" customWidth="1"/>
    <col min="11" max="11" width="8.81640625" style="1" customWidth="1"/>
    <col min="12" max="16384" width="8.81640625" style="1"/>
  </cols>
  <sheetData>
    <row r="1" spans="1:10" s="7" customFormat="1" ht="94.5" customHeight="1" thickBot="1" x14ac:dyDescent="0.4">
      <c r="A1" s="8"/>
      <c r="B1" s="63" t="s">
        <v>0</v>
      </c>
      <c r="C1" s="64" t="s">
        <v>1</v>
      </c>
      <c r="D1" s="65" t="s">
        <v>3</v>
      </c>
      <c r="E1" s="65" t="s">
        <v>135</v>
      </c>
      <c r="F1" s="64" t="s">
        <v>136</v>
      </c>
      <c r="G1" s="65" t="s">
        <v>25</v>
      </c>
      <c r="H1" s="65" t="s">
        <v>137</v>
      </c>
      <c r="I1" s="66" t="s">
        <v>28</v>
      </c>
      <c r="J1" s="67" t="s">
        <v>36</v>
      </c>
    </row>
    <row r="2" spans="1:10" s="7" customFormat="1" ht="80.5" customHeight="1" x14ac:dyDescent="0.35">
      <c r="B2" s="59">
        <v>1</v>
      </c>
      <c r="C2" s="60" t="s">
        <v>138</v>
      </c>
      <c r="D2" s="53" t="s">
        <v>40</v>
      </c>
      <c r="E2" s="54"/>
      <c r="F2" s="55"/>
      <c r="G2" s="53" t="s">
        <v>46</v>
      </c>
      <c r="H2" s="54" t="s">
        <v>44</v>
      </c>
      <c r="I2" s="61">
        <v>15547147956</v>
      </c>
      <c r="J2" s="62" t="s">
        <v>139</v>
      </c>
    </row>
    <row r="3" spans="1:10" s="7" customFormat="1" ht="47.5" customHeight="1" x14ac:dyDescent="0.35">
      <c r="B3" s="56">
        <v>2</v>
      </c>
      <c r="C3" s="12" t="s">
        <v>67</v>
      </c>
      <c r="D3" s="14" t="s">
        <v>40</v>
      </c>
      <c r="E3" s="17"/>
      <c r="F3" s="18"/>
      <c r="G3" s="14" t="s">
        <v>140</v>
      </c>
      <c r="H3" s="17" t="s">
        <v>71</v>
      </c>
      <c r="I3" s="40">
        <v>704570280</v>
      </c>
      <c r="J3" s="58" t="s">
        <v>141</v>
      </c>
    </row>
    <row r="4" spans="1:10" s="7" customFormat="1" ht="52" customHeight="1" x14ac:dyDescent="0.35">
      <c r="B4" s="56">
        <v>3</v>
      </c>
      <c r="C4" s="12" t="s">
        <v>73</v>
      </c>
      <c r="D4" s="14" t="s">
        <v>74</v>
      </c>
      <c r="E4" s="13"/>
      <c r="F4" s="18"/>
      <c r="G4" s="14" t="s">
        <v>76</v>
      </c>
      <c r="H4" s="13" t="s">
        <v>142</v>
      </c>
      <c r="I4" s="40">
        <v>971250000</v>
      </c>
      <c r="J4" s="58" t="s">
        <v>141</v>
      </c>
    </row>
    <row r="5" spans="1:10" s="7" customFormat="1" ht="51.5" customHeight="1" x14ac:dyDescent="0.35">
      <c r="B5" s="56">
        <v>4</v>
      </c>
      <c r="C5" s="12"/>
      <c r="D5" s="14"/>
      <c r="E5" s="19"/>
      <c r="F5" s="18"/>
      <c r="G5" s="14"/>
      <c r="H5" s="13"/>
      <c r="I5" s="40"/>
      <c r="J5" s="57"/>
    </row>
    <row r="6" spans="1:10" s="7" customFormat="1" ht="48" customHeight="1" x14ac:dyDescent="0.35">
      <c r="B6" s="56">
        <v>5</v>
      </c>
      <c r="C6" s="12"/>
      <c r="D6" s="14"/>
      <c r="E6" s="19"/>
      <c r="F6" s="18"/>
      <c r="G6" s="14"/>
      <c r="H6" s="13"/>
      <c r="I6" s="40"/>
      <c r="J6" s="57"/>
    </row>
    <row r="7" spans="1:10" s="7" customFormat="1" ht="50.5" customHeight="1" x14ac:dyDescent="0.35">
      <c r="B7" s="130">
        <v>6</v>
      </c>
      <c r="C7" s="34"/>
      <c r="D7" s="131"/>
      <c r="E7" s="132"/>
      <c r="F7" s="36"/>
      <c r="G7" s="131"/>
      <c r="H7" s="35"/>
      <c r="I7" s="40"/>
      <c r="J7" s="57"/>
    </row>
    <row r="8" spans="1:10" s="7" customFormat="1" ht="41.4" customHeight="1" thickBot="1" x14ac:dyDescent="0.4">
      <c r="B8" s="153" t="s">
        <v>118</v>
      </c>
      <c r="C8" s="154"/>
      <c r="D8" s="155"/>
      <c r="E8" s="125"/>
      <c r="F8" s="126">
        <f>SUM(F2:F7)</f>
        <v>0</v>
      </c>
      <c r="G8" s="127">
        <f>SUM(G2:G7)</f>
        <v>0</v>
      </c>
      <c r="H8" s="127">
        <f>SUM(H2:H7)</f>
        <v>0</v>
      </c>
      <c r="I8" s="128">
        <f>SUM(I2:I7)</f>
        <v>17222968236</v>
      </c>
      <c r="J8" s="129"/>
    </row>
    <row r="9" spans="1:10" s="7" customFormat="1" ht="41.4" customHeight="1" x14ac:dyDescent="0.35">
      <c r="B9" s="6"/>
      <c r="C9" s="10"/>
      <c r="D9" s="8"/>
      <c r="E9" s="77"/>
      <c r="F9" s="78"/>
      <c r="G9" s="8"/>
      <c r="H9" s="9"/>
      <c r="I9" s="78"/>
      <c r="J9" s="8"/>
    </row>
    <row r="10" spans="1:10" s="7" customFormat="1" ht="41.4" customHeight="1" x14ac:dyDescent="0.35">
      <c r="B10" s="6"/>
      <c r="C10" s="10"/>
      <c r="D10" s="8"/>
      <c r="E10" s="77"/>
      <c r="F10" s="78"/>
      <c r="G10" s="8"/>
      <c r="H10" s="9"/>
      <c r="I10" s="78"/>
      <c r="J10" s="8"/>
    </row>
    <row r="11" spans="1:10" s="10" customFormat="1" ht="82.5" customHeight="1" x14ac:dyDescent="0.35">
      <c r="B11" s="6"/>
      <c r="D11" s="8"/>
      <c r="E11" s="77"/>
      <c r="F11" s="78"/>
      <c r="G11" s="79"/>
      <c r="H11" s="80"/>
      <c r="I11" s="78"/>
      <c r="J11" s="9"/>
    </row>
    <row r="12" spans="1:10" s="7" customFormat="1" ht="73.5" customHeight="1" x14ac:dyDescent="0.35">
      <c r="B12" s="81"/>
      <c r="C12" s="10"/>
      <c r="D12" s="9"/>
      <c r="E12" s="77"/>
      <c r="F12" s="78"/>
      <c r="G12" s="8"/>
      <c r="H12" s="9"/>
      <c r="I12" s="78"/>
      <c r="J12" s="8"/>
    </row>
    <row r="13" spans="1:10" s="7" customFormat="1" ht="49.5" customHeight="1" x14ac:dyDescent="0.35">
      <c r="B13" s="6"/>
      <c r="C13" s="10"/>
      <c r="D13" s="8"/>
      <c r="E13" s="77"/>
      <c r="F13" s="78"/>
      <c r="G13" s="8"/>
      <c r="H13" s="9"/>
      <c r="I13" s="78"/>
      <c r="J13" s="8"/>
    </row>
    <row r="14" spans="1:10" s="7" customFormat="1" ht="49" customHeight="1" x14ac:dyDescent="0.35">
      <c r="B14" s="6"/>
      <c r="C14" s="10"/>
      <c r="D14" s="8"/>
      <c r="E14" s="78"/>
      <c r="F14" s="78"/>
      <c r="G14" s="8"/>
      <c r="H14" s="8"/>
      <c r="I14" s="9"/>
      <c r="J14" s="8"/>
    </row>
    <row r="15" spans="1:10" s="7" customFormat="1" ht="52.5" customHeight="1" x14ac:dyDescent="0.35">
      <c r="B15" s="6"/>
      <c r="C15" s="82"/>
      <c r="D15" s="8"/>
      <c r="E15" s="77"/>
      <c r="F15" s="78"/>
      <c r="G15" s="8"/>
      <c r="H15" s="83"/>
      <c r="I15" s="84"/>
      <c r="J15" s="8"/>
    </row>
    <row r="16" spans="1:10" s="7" customFormat="1" ht="64.25" customHeight="1" x14ac:dyDescent="0.35">
      <c r="B16" s="6"/>
      <c r="C16" s="82"/>
      <c r="D16" s="8"/>
      <c r="E16" s="77"/>
      <c r="F16" s="78"/>
      <c r="G16" s="8"/>
      <c r="H16" s="83"/>
      <c r="I16" s="84"/>
      <c r="J16" s="8"/>
    </row>
    <row r="17" spans="2:10" s="7" customFormat="1" ht="50.5" customHeight="1" x14ac:dyDescent="0.35">
      <c r="B17" s="6"/>
      <c r="C17" s="82"/>
      <c r="D17" s="8"/>
      <c r="E17" s="77"/>
      <c r="F17" s="78"/>
      <c r="G17" s="8"/>
      <c r="H17" s="9"/>
      <c r="I17" s="78"/>
      <c r="J17" s="8"/>
    </row>
    <row r="18" spans="2:10" s="7" customFormat="1" ht="33" customHeight="1" x14ac:dyDescent="0.35">
      <c r="B18" s="6"/>
      <c r="C18" s="10"/>
      <c r="D18" s="9"/>
      <c r="E18" s="77"/>
      <c r="F18" s="78"/>
      <c r="G18" s="8"/>
      <c r="H18" s="77"/>
      <c r="I18" s="78"/>
      <c r="J18" s="8"/>
    </row>
    <row r="19" spans="2:10" s="10" customFormat="1" ht="41" customHeight="1" x14ac:dyDescent="0.35">
      <c r="B19" s="81"/>
      <c r="D19" s="9"/>
      <c r="E19" s="85"/>
      <c r="F19" s="78"/>
      <c r="G19" s="78"/>
      <c r="H19" s="78"/>
      <c r="I19" s="78"/>
      <c r="J19" s="9"/>
    </row>
    <row r="20" spans="2:10" s="10" customFormat="1" ht="40.5" customHeight="1" x14ac:dyDescent="0.35">
      <c r="B20" s="81"/>
      <c r="D20" s="9"/>
      <c r="E20" s="78"/>
      <c r="F20" s="78"/>
      <c r="G20" s="9"/>
      <c r="H20" s="77"/>
      <c r="I20" s="78"/>
      <c r="J20" s="9"/>
    </row>
    <row r="21" spans="2:10" s="10" customFormat="1" ht="57" customHeight="1" x14ac:dyDescent="0.35">
      <c r="B21" s="81"/>
      <c r="C21" s="82"/>
      <c r="D21" s="9"/>
      <c r="E21" s="77"/>
      <c r="F21" s="78"/>
      <c r="G21" s="9"/>
      <c r="H21" s="77"/>
      <c r="I21" s="78"/>
      <c r="J21" s="9"/>
    </row>
    <row r="22" spans="2:10" s="10" customFormat="1" ht="50" customHeight="1" x14ac:dyDescent="0.35">
      <c r="B22" s="81"/>
      <c r="C22" s="82"/>
      <c r="D22" s="9"/>
      <c r="E22" s="77"/>
      <c r="F22" s="78"/>
      <c r="G22" s="9"/>
      <c r="H22" s="77"/>
      <c r="I22" s="86"/>
      <c r="J22" s="9"/>
    </row>
    <row r="23" spans="2:10" s="3" customFormat="1" ht="28" customHeight="1" x14ac:dyDescent="0.35">
      <c r="B23" s="81"/>
      <c r="C23" s="82"/>
      <c r="D23" s="9"/>
      <c r="E23" s="77"/>
      <c r="F23" s="78"/>
      <c r="G23" s="9"/>
      <c r="H23" s="78"/>
      <c r="I23" s="78"/>
      <c r="J23" s="9"/>
    </row>
    <row r="24" spans="2:10" s="3" customFormat="1" x14ac:dyDescent="0.35">
      <c r="B24" s="81"/>
      <c r="C24" s="82"/>
      <c r="D24" s="9"/>
      <c r="E24" s="87"/>
      <c r="F24" s="78"/>
      <c r="G24" s="9"/>
      <c r="H24" s="9"/>
      <c r="I24" s="78"/>
      <c r="J24" s="9"/>
    </row>
    <row r="25" spans="2:10" s="3" customFormat="1" x14ac:dyDescent="0.35">
      <c r="B25" s="81"/>
      <c r="C25" s="82"/>
      <c r="D25" s="9"/>
      <c r="E25" s="85"/>
      <c r="F25" s="78"/>
      <c r="G25" s="85"/>
      <c r="H25" s="85"/>
      <c r="I25" s="85"/>
      <c r="J25" s="9"/>
    </row>
    <row r="26" spans="2:10" s="3" customFormat="1" ht="40.5" customHeight="1" x14ac:dyDescent="0.35">
      <c r="B26" s="81"/>
      <c r="C26" s="82"/>
      <c r="D26" s="9"/>
      <c r="E26" s="87"/>
      <c r="F26" s="78"/>
      <c r="G26" s="9"/>
      <c r="H26" s="9"/>
      <c r="I26" s="78"/>
      <c r="J26" s="9"/>
    </row>
    <row r="27" spans="2:10" s="3" customFormat="1" ht="44" customHeight="1" x14ac:dyDescent="0.35">
      <c r="B27" s="81"/>
      <c r="C27" s="82"/>
      <c r="D27" s="9"/>
      <c r="E27" s="87"/>
      <c r="F27" s="78"/>
      <c r="G27" s="9"/>
      <c r="H27" s="9"/>
      <c r="I27" s="78"/>
      <c r="J27" s="9"/>
    </row>
    <row r="28" spans="2:10" s="3" customFormat="1" ht="57" customHeight="1" x14ac:dyDescent="0.35">
      <c r="B28" s="9"/>
      <c r="C28" s="10"/>
      <c r="D28" s="9"/>
      <c r="E28" s="9"/>
      <c r="F28" s="78"/>
      <c r="G28" s="9"/>
      <c r="H28" s="9"/>
      <c r="I28" s="9"/>
      <c r="J28" s="9"/>
    </row>
    <row r="29" spans="2:10" s="3" customFormat="1" ht="53.5" customHeight="1" x14ac:dyDescent="0.35">
      <c r="B29" s="9"/>
      <c r="C29" s="10"/>
      <c r="D29" s="9"/>
      <c r="E29" s="9"/>
      <c r="F29" s="78"/>
      <c r="G29" s="9"/>
      <c r="H29" s="9"/>
      <c r="I29" s="9"/>
      <c r="J29" s="9"/>
    </row>
    <row r="30" spans="2:10" s="3" customFormat="1" ht="117.5" customHeight="1" x14ac:dyDescent="0.35">
      <c r="B30" s="9"/>
      <c r="C30" s="10"/>
      <c r="D30" s="9"/>
      <c r="E30" s="9"/>
      <c r="F30" s="78"/>
      <c r="G30" s="9"/>
      <c r="H30" s="9"/>
      <c r="I30" s="9"/>
      <c r="J30" s="9"/>
    </row>
    <row r="31" spans="2:10" s="3" customFormat="1" ht="45" customHeight="1" x14ac:dyDescent="0.35">
      <c r="B31" s="9"/>
      <c r="C31" s="10"/>
      <c r="D31" s="9"/>
      <c r="E31" s="9"/>
      <c r="F31" s="78"/>
      <c r="G31" s="9"/>
      <c r="H31" s="9"/>
      <c r="I31" s="9"/>
      <c r="J31" s="9"/>
    </row>
    <row r="32" spans="2:10" s="3" customFormat="1" x14ac:dyDescent="0.35">
      <c r="B32" s="25"/>
      <c r="D32" s="25"/>
      <c r="E32" s="25"/>
      <c r="F32" s="78"/>
      <c r="G32" s="25"/>
      <c r="H32" s="25"/>
      <c r="I32" s="25"/>
      <c r="J32" s="25"/>
    </row>
    <row r="33" spans="2:11" s="3" customFormat="1" ht="50.5" customHeight="1" x14ac:dyDescent="0.35">
      <c r="B33" s="9"/>
      <c r="C33" s="10"/>
      <c r="D33" s="9"/>
      <c r="E33" s="9"/>
      <c r="F33" s="78"/>
      <c r="G33" s="9"/>
      <c r="H33" s="9"/>
      <c r="I33" s="9"/>
      <c r="J33" s="9"/>
    </row>
    <row r="34" spans="2:11" s="3" customFormat="1" ht="51.5" customHeight="1" x14ac:dyDescent="0.35">
      <c r="B34" s="9"/>
      <c r="C34" s="10"/>
      <c r="D34" s="9"/>
      <c r="E34" s="9"/>
      <c r="F34" s="78"/>
      <c r="G34" s="9"/>
      <c r="H34" s="9"/>
      <c r="I34" s="9"/>
      <c r="J34" s="9"/>
    </row>
    <row r="35" spans="2:11" s="3" customFormat="1" ht="46" customHeight="1" x14ac:dyDescent="0.35">
      <c r="B35" s="9"/>
      <c r="C35" s="10"/>
      <c r="D35" s="9"/>
      <c r="E35" s="9"/>
      <c r="F35" s="78"/>
      <c r="G35" s="9"/>
      <c r="H35" s="9"/>
      <c r="I35" s="9"/>
      <c r="J35" s="9"/>
    </row>
    <row r="36" spans="2:11" s="3" customFormat="1" ht="46" customHeight="1" x14ac:dyDescent="0.35">
      <c r="B36" s="9"/>
      <c r="C36" s="10"/>
      <c r="D36" s="9"/>
      <c r="E36" s="9"/>
      <c r="F36" s="78"/>
      <c r="G36" s="9"/>
      <c r="H36" s="9"/>
      <c r="I36" s="78"/>
      <c r="J36" s="9"/>
    </row>
    <row r="37" spans="2:11" s="3" customFormat="1" ht="46" customHeight="1" x14ac:dyDescent="0.35">
      <c r="B37" s="42"/>
      <c r="C37" s="52"/>
      <c r="D37" s="42"/>
      <c r="E37" s="42"/>
      <c r="F37" s="55"/>
      <c r="G37" s="42"/>
      <c r="H37" s="42"/>
      <c r="I37" s="42"/>
      <c r="J37" s="9"/>
    </row>
    <row r="38" spans="2:11" s="3" customFormat="1" ht="38.5" customHeight="1" x14ac:dyDescent="0.35">
      <c r="B38" s="13"/>
      <c r="C38" s="24"/>
      <c r="D38" s="13"/>
      <c r="E38" s="13"/>
      <c r="F38" s="18"/>
      <c r="G38" s="13"/>
      <c r="H38" s="13"/>
      <c r="I38" s="13"/>
      <c r="J38" s="9"/>
    </row>
    <row r="39" spans="2:11" s="3" customFormat="1" ht="38.5" customHeight="1" x14ac:dyDescent="0.35">
      <c r="B39" s="13"/>
      <c r="C39" s="24"/>
      <c r="D39" s="13"/>
      <c r="E39" s="13"/>
      <c r="F39" s="18"/>
      <c r="G39" s="13"/>
      <c r="H39" s="13"/>
      <c r="I39" s="13"/>
      <c r="J39" s="9"/>
    </row>
    <row r="40" spans="2:11" s="3" customFormat="1" ht="38.5" customHeight="1" x14ac:dyDescent="0.35">
      <c r="B40" s="13"/>
      <c r="C40" s="24"/>
      <c r="D40" s="13"/>
      <c r="E40" s="13"/>
      <c r="F40" s="18"/>
      <c r="G40" s="13"/>
      <c r="H40" s="13"/>
      <c r="I40" s="13"/>
      <c r="J40" s="9"/>
    </row>
    <row r="41" spans="2:11" s="3" customFormat="1" ht="44" customHeight="1" x14ac:dyDescent="0.35">
      <c r="B41" s="13"/>
      <c r="C41" s="24"/>
      <c r="D41" s="13"/>
      <c r="E41" s="13"/>
      <c r="F41" s="18"/>
      <c r="G41" s="13"/>
      <c r="H41" s="13"/>
      <c r="I41" s="13"/>
      <c r="J41" s="9"/>
    </row>
    <row r="42" spans="2:11" s="3" customFormat="1" ht="52.5" customHeight="1" x14ac:dyDescent="0.35">
      <c r="B42" s="13"/>
      <c r="C42" s="24"/>
      <c r="D42" s="13"/>
      <c r="E42" s="13"/>
      <c r="F42" s="18"/>
      <c r="G42" s="13"/>
      <c r="H42" s="13"/>
      <c r="I42" s="13"/>
      <c r="J42" s="9"/>
    </row>
    <row r="43" spans="2:11" s="3" customFormat="1" ht="53" customHeight="1" x14ac:dyDescent="0.35">
      <c r="B43" s="13"/>
      <c r="C43" s="24"/>
      <c r="D43" s="13"/>
      <c r="E43" s="13"/>
      <c r="F43" s="18"/>
      <c r="G43" s="13"/>
      <c r="H43" s="13"/>
      <c r="I43" s="13"/>
      <c r="J43" s="9"/>
    </row>
    <row r="44" spans="2:11" s="3" customFormat="1" ht="49" customHeight="1" x14ac:dyDescent="0.35">
      <c r="B44" s="13"/>
      <c r="C44" s="24"/>
      <c r="D44" s="13"/>
      <c r="E44" s="13"/>
      <c r="F44" s="18"/>
      <c r="G44" s="13"/>
      <c r="H44" s="13"/>
      <c r="I44" s="13"/>
      <c r="J44" s="9"/>
    </row>
    <row r="45" spans="2:11" s="3" customFormat="1" ht="49.5" customHeight="1" x14ac:dyDescent="0.35">
      <c r="B45" s="13"/>
      <c r="C45" s="24"/>
      <c r="D45" s="13"/>
      <c r="E45" s="13"/>
      <c r="F45" s="18"/>
      <c r="G45" s="13"/>
      <c r="H45" s="13"/>
      <c r="I45" s="13"/>
      <c r="J45" s="9"/>
    </row>
    <row r="46" spans="2:11" s="3" customFormat="1" ht="55.5" customHeight="1" x14ac:dyDescent="0.35">
      <c r="B46" s="13"/>
      <c r="C46" s="24"/>
      <c r="D46" s="13"/>
      <c r="E46" s="13"/>
      <c r="F46" s="18"/>
      <c r="G46" s="13"/>
      <c r="H46" s="13"/>
      <c r="I46" s="13"/>
      <c r="J46" s="9"/>
    </row>
    <row r="47" spans="2:11" s="3" customFormat="1" ht="83.5" customHeight="1" x14ac:dyDescent="0.35">
      <c r="B47" s="22"/>
      <c r="C47" s="24"/>
      <c r="D47" s="13"/>
      <c r="E47" s="13"/>
      <c r="F47" s="18"/>
      <c r="G47" s="13"/>
      <c r="H47" s="13"/>
      <c r="I47" s="13"/>
      <c r="J47" s="42"/>
      <c r="K47" s="9"/>
    </row>
    <row r="48" spans="2:11" s="3" customFormat="1" ht="63" customHeight="1" x14ac:dyDescent="0.35">
      <c r="B48" s="13"/>
      <c r="C48" s="24"/>
      <c r="D48" s="13"/>
      <c r="E48" s="13"/>
      <c r="F48" s="18"/>
      <c r="G48" s="13"/>
      <c r="H48" s="13"/>
      <c r="I48" s="13"/>
      <c r="J48" s="9"/>
    </row>
    <row r="49" spans="2:11" s="3" customFormat="1" ht="38" customHeight="1" x14ac:dyDescent="0.35">
      <c r="B49" s="13"/>
      <c r="C49" s="24"/>
      <c r="D49" s="13"/>
      <c r="E49" s="13"/>
      <c r="F49" s="18"/>
      <c r="G49" s="13"/>
      <c r="H49" s="13"/>
      <c r="I49" s="13"/>
      <c r="J49" s="9"/>
    </row>
    <row r="50" spans="2:11" s="3" customFormat="1" ht="44.5" customHeight="1" x14ac:dyDescent="0.35">
      <c r="B50" s="43"/>
      <c r="C50" s="34"/>
      <c r="D50" s="35"/>
      <c r="E50" s="35"/>
      <c r="F50" s="36"/>
      <c r="G50" s="35"/>
      <c r="H50" s="35"/>
      <c r="I50" s="35"/>
      <c r="J50" s="42"/>
      <c r="K50" s="9"/>
    </row>
    <row r="51" spans="2:11" s="3" customFormat="1" ht="49" customHeight="1" x14ac:dyDescent="0.35">
      <c r="B51" s="13"/>
      <c r="C51" s="24"/>
      <c r="D51" s="13"/>
      <c r="E51" s="13"/>
      <c r="F51" s="18"/>
      <c r="G51" s="13"/>
      <c r="H51" s="13"/>
      <c r="I51" s="13"/>
      <c r="J51" s="9"/>
    </row>
    <row r="52" spans="2:11" s="3" customFormat="1" ht="59" customHeight="1" x14ac:dyDescent="0.35">
      <c r="B52" s="13"/>
      <c r="C52" s="24"/>
      <c r="D52" s="13"/>
      <c r="E52" s="13"/>
      <c r="F52" s="18"/>
      <c r="G52" s="13"/>
      <c r="H52" s="13"/>
      <c r="I52" s="13"/>
      <c r="J52" s="9"/>
    </row>
    <row r="53" spans="2:11" s="3" customFormat="1" ht="53.5" customHeight="1" x14ac:dyDescent="0.35">
      <c r="B53" s="13"/>
      <c r="C53" s="24"/>
      <c r="D53" s="13"/>
      <c r="E53" s="13"/>
      <c r="F53" s="18"/>
      <c r="G53" s="13"/>
      <c r="H53" s="13"/>
      <c r="I53" s="13"/>
      <c r="J53" s="25"/>
    </row>
    <row r="54" spans="2:11" s="10" customFormat="1" x14ac:dyDescent="0.35">
      <c r="B54" s="41"/>
      <c r="C54" s="28"/>
      <c r="D54" s="41"/>
      <c r="E54" s="41"/>
      <c r="F54" s="18"/>
      <c r="G54" s="41"/>
      <c r="H54" s="41"/>
      <c r="I54" s="41"/>
      <c r="J54" s="9"/>
    </row>
    <row r="55" spans="2:11" s="10" customFormat="1" ht="64.25" customHeight="1" x14ac:dyDescent="0.35">
      <c r="B55" s="22"/>
      <c r="C55" s="24"/>
      <c r="D55" s="13"/>
      <c r="E55" s="17"/>
      <c r="F55" s="18"/>
      <c r="G55" s="13"/>
      <c r="H55" s="13"/>
      <c r="I55" s="18"/>
      <c r="J55" s="9"/>
    </row>
    <row r="56" spans="2:11" s="3" customFormat="1" x14ac:dyDescent="0.35">
      <c r="B56" s="30"/>
      <c r="C56" s="29"/>
      <c r="D56" s="30"/>
      <c r="E56" s="39"/>
      <c r="F56" s="18"/>
      <c r="G56" s="30"/>
      <c r="H56" s="30"/>
      <c r="I56" s="30"/>
      <c r="J56" s="25"/>
    </row>
    <row r="57" spans="2:11" s="3" customFormat="1" x14ac:dyDescent="0.35">
      <c r="B57" s="33"/>
      <c r="C57" s="37"/>
      <c r="D57" s="38"/>
      <c r="E57" s="38"/>
      <c r="F57" s="40"/>
      <c r="G57" s="38"/>
      <c r="H57" s="38"/>
      <c r="I57" s="38"/>
      <c r="J57" s="25"/>
    </row>
    <row r="65" spans="6:9" x14ac:dyDescent="0.35">
      <c r="F65" s="44">
        <f>SUM(F3:F57)</f>
        <v>0</v>
      </c>
      <c r="G65" s="44">
        <f>SUM(G3:G57)</f>
        <v>0</v>
      </c>
      <c r="H65" s="44">
        <f>SUM(H3:H57)</f>
        <v>0</v>
      </c>
      <c r="I65" s="44">
        <f>SUM(I3:I57)</f>
        <v>18898788516</v>
      </c>
    </row>
  </sheetData>
  <mergeCells count="1">
    <mergeCell ref="B8:D8"/>
  </mergeCells>
  <pageMargins left="0.7" right="0.7" top="0.75" bottom="0.75" header="0.3" footer="0.3"/>
  <pageSetup scale="10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H44"/>
  <sheetViews>
    <sheetView zoomScale="70" zoomScaleNormal="70" workbookViewId="0">
      <selection activeCell="D7" sqref="D7"/>
    </sheetView>
  </sheetViews>
  <sheetFormatPr defaultRowHeight="14.5" x14ac:dyDescent="0.35"/>
  <cols>
    <col min="3" max="3" width="23.08984375" customWidth="1"/>
    <col min="4" max="4" width="27.81640625" customWidth="1"/>
    <col min="5" max="5" width="29.08984375" customWidth="1"/>
    <col min="6" max="6" width="27.90625" customWidth="1"/>
    <col min="7" max="7" width="27" customWidth="1"/>
    <col min="8" max="8" width="26.453125" customWidth="1"/>
    <col min="9" max="9" width="8.7265625" customWidth="1"/>
  </cols>
  <sheetData>
    <row r="3" spans="3:8" x14ac:dyDescent="0.35">
      <c r="C3" s="156" t="s">
        <v>143</v>
      </c>
      <c r="D3" s="157"/>
      <c r="E3" s="157"/>
      <c r="F3" s="157"/>
      <c r="G3" s="157"/>
      <c r="H3" s="157"/>
    </row>
    <row r="5" spans="3:8" ht="31" customHeight="1" x14ac:dyDescent="0.35">
      <c r="C5" s="33" t="s">
        <v>119</v>
      </c>
      <c r="D5" s="50" t="s">
        <v>120</v>
      </c>
      <c r="E5" s="33" t="s">
        <v>121</v>
      </c>
      <c r="F5" s="50" t="s">
        <v>144</v>
      </c>
      <c r="G5" s="33" t="s">
        <v>123</v>
      </c>
      <c r="H5" s="50" t="s">
        <v>145</v>
      </c>
    </row>
    <row r="6" spans="3:8" x14ac:dyDescent="0.35">
      <c r="C6" s="45">
        <v>24000000000</v>
      </c>
      <c r="D6" s="48">
        <f>'Monitoring Akumulatif '!I8</f>
        <v>17222968236</v>
      </c>
      <c r="E6" s="45">
        <v>13100000000</v>
      </c>
      <c r="F6" s="48">
        <v>22290502756</v>
      </c>
      <c r="G6" s="45">
        <v>22610000000</v>
      </c>
      <c r="H6" s="48">
        <f>D6</f>
        <v>17222968236</v>
      </c>
    </row>
    <row r="7" spans="3:8" x14ac:dyDescent="0.35">
      <c r="C7" s="46">
        <v>1</v>
      </c>
      <c r="D7" s="49">
        <f>(D6/C6)</f>
        <v>0.71762367650000003</v>
      </c>
      <c r="E7" s="46">
        <v>1</v>
      </c>
      <c r="F7" s="49">
        <f>F6/E6</f>
        <v>1.7015650958778625</v>
      </c>
      <c r="G7" s="46">
        <v>1</v>
      </c>
      <c r="H7" s="49">
        <f>H6/G6</f>
        <v>0.76174118690844761</v>
      </c>
    </row>
    <row r="8" spans="3:8" ht="31" customHeight="1" x14ac:dyDescent="0.35">
      <c r="C8" s="51" t="s">
        <v>125</v>
      </c>
      <c r="D8" s="50" t="s">
        <v>126</v>
      </c>
      <c r="E8" s="51" t="s">
        <v>125</v>
      </c>
      <c r="F8" s="50" t="s">
        <v>144</v>
      </c>
      <c r="G8" s="51" t="s">
        <v>125</v>
      </c>
      <c r="H8" s="50" t="s">
        <v>146</v>
      </c>
    </row>
    <row r="9" spans="3:8" x14ac:dyDescent="0.35">
      <c r="C9" s="47">
        <f>C6-D6</f>
        <v>6777031764</v>
      </c>
      <c r="D9" s="73">
        <f>D6</f>
        <v>17222968236</v>
      </c>
      <c r="E9" s="47">
        <f>F6-E6</f>
        <v>9190502756</v>
      </c>
      <c r="F9" s="73">
        <f>F6</f>
        <v>22290502756</v>
      </c>
      <c r="G9" s="47">
        <f>H6-G6</f>
        <v>-5387031764</v>
      </c>
      <c r="H9" s="73">
        <f>H6</f>
        <v>17222968236</v>
      </c>
    </row>
    <row r="10" spans="3:8" x14ac:dyDescent="0.35">
      <c r="C10" s="72">
        <f>D7-C7</f>
        <v>-0.28237632349999997</v>
      </c>
      <c r="D10" s="74">
        <f>D7</f>
        <v>0.71762367650000003</v>
      </c>
      <c r="E10" s="75">
        <f>F7-E7</f>
        <v>0.70156509587786253</v>
      </c>
      <c r="F10" s="74">
        <f>F7</f>
        <v>1.7015650958778625</v>
      </c>
      <c r="G10" s="75">
        <f>H7-G7</f>
        <v>-0.23825881309155239</v>
      </c>
      <c r="H10" s="74">
        <f>H7</f>
        <v>0.76174118690844761</v>
      </c>
    </row>
    <row r="11" spans="3:8" x14ac:dyDescent="0.35">
      <c r="E11" s="71"/>
      <c r="F11" s="70"/>
      <c r="G11" s="70"/>
      <c r="H11" s="70"/>
    </row>
    <row r="12" spans="3:8" x14ac:dyDescent="0.35">
      <c r="D12">
        <v>2396545307</v>
      </c>
    </row>
    <row r="13" spans="3:8" x14ac:dyDescent="0.35">
      <c r="F13" s="106">
        <f>D6+D12</f>
        <v>19619513543</v>
      </c>
    </row>
    <row r="14" spans="3:8" x14ac:dyDescent="0.35">
      <c r="F14" s="107"/>
    </row>
    <row r="15" spans="3:8" ht="15.5" customHeight="1" x14ac:dyDescent="0.35">
      <c r="C15" s="33" t="s">
        <v>128</v>
      </c>
      <c r="D15" s="50" t="s">
        <v>147</v>
      </c>
      <c r="E15" s="51" t="s">
        <v>130</v>
      </c>
      <c r="F15" s="108">
        <f>F13/C6</f>
        <v>0.81747973095833337</v>
      </c>
    </row>
    <row r="16" spans="3:8" x14ac:dyDescent="0.35">
      <c r="C16" s="45">
        <f>C6</f>
        <v>24000000000</v>
      </c>
      <c r="D16" s="45">
        <f>D6</f>
        <v>17222968236</v>
      </c>
      <c r="E16" s="68">
        <f>C9</f>
        <v>6777031764</v>
      </c>
    </row>
    <row r="17" spans="3:5" x14ac:dyDescent="0.35">
      <c r="C17" s="46">
        <f>C7</f>
        <v>1</v>
      </c>
      <c r="D17" s="46">
        <f>D7</f>
        <v>0.71762367650000003</v>
      </c>
      <c r="E17" s="69">
        <f>C10</f>
        <v>-0.28237632349999997</v>
      </c>
    </row>
    <row r="19" spans="3:5" ht="15.5" customHeight="1" x14ac:dyDescent="0.35">
      <c r="C19" s="33" t="s">
        <v>131</v>
      </c>
      <c r="D19" s="50" t="s">
        <v>132</v>
      </c>
      <c r="E19" s="51" t="s">
        <v>130</v>
      </c>
    </row>
    <row r="20" spans="3:5" x14ac:dyDescent="0.35">
      <c r="C20" s="45">
        <f>E6</f>
        <v>13100000000</v>
      </c>
      <c r="D20" s="48">
        <f>F6</f>
        <v>22290502756</v>
      </c>
      <c r="E20" s="68">
        <f>E9</f>
        <v>9190502756</v>
      </c>
    </row>
    <row r="21" spans="3:5" x14ac:dyDescent="0.35">
      <c r="C21" s="46">
        <f>E7</f>
        <v>1</v>
      </c>
      <c r="D21" s="49">
        <f>F7</f>
        <v>1.7015650958778625</v>
      </c>
      <c r="E21" s="69">
        <f>E10</f>
        <v>0.70156509587786253</v>
      </c>
    </row>
    <row r="24" spans="3:5" ht="15.5" customHeight="1" x14ac:dyDescent="0.35">
      <c r="C24" s="33" t="s">
        <v>133</v>
      </c>
      <c r="D24" s="50" t="s">
        <v>134</v>
      </c>
      <c r="E24" s="51" t="s">
        <v>130</v>
      </c>
    </row>
    <row r="25" spans="3:5" x14ac:dyDescent="0.35">
      <c r="C25" s="45">
        <f>G6</f>
        <v>22610000000</v>
      </c>
      <c r="D25" s="48">
        <f>H6</f>
        <v>17222968236</v>
      </c>
      <c r="E25" s="68">
        <f>G9</f>
        <v>-5387031764</v>
      </c>
    </row>
    <row r="26" spans="3:5" x14ac:dyDescent="0.35">
      <c r="C26" s="46">
        <f>G7</f>
        <v>1</v>
      </c>
      <c r="D26" s="49">
        <f>H7</f>
        <v>0.76174118690844761</v>
      </c>
      <c r="E26" s="69">
        <f>G10</f>
        <v>-0.23825881309155239</v>
      </c>
    </row>
    <row r="42" spans="3:3" x14ac:dyDescent="0.35">
      <c r="C42" s="90"/>
    </row>
    <row r="43" spans="3:3" x14ac:dyDescent="0.35">
      <c r="C43" s="90"/>
    </row>
    <row r="44" spans="3:3" x14ac:dyDescent="0.35">
      <c r="C44" s="90"/>
    </row>
  </sheetData>
  <mergeCells count="1">
    <mergeCell ref="C3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11"/>
  <sheetViews>
    <sheetView workbookViewId="0">
      <selection activeCell="D7" sqref="D7"/>
    </sheetView>
  </sheetViews>
  <sheetFormatPr defaultRowHeight="14.5" x14ac:dyDescent="0.35"/>
  <cols>
    <col min="3" max="3" width="23.08984375" customWidth="1"/>
    <col min="4" max="4" width="27.81640625" customWidth="1"/>
    <col min="5" max="5" width="29.08984375" customWidth="1"/>
    <col min="8" max="8" width="10.81640625" bestFit="1" customWidth="1"/>
  </cols>
  <sheetData>
    <row r="2" spans="3:5" ht="15" customHeight="1" thickBot="1" x14ac:dyDescent="0.4"/>
    <row r="3" spans="3:5" ht="21" customHeight="1" thickBot="1" x14ac:dyDescent="0.4">
      <c r="C3" s="158" t="s">
        <v>148</v>
      </c>
      <c r="D3" s="150"/>
      <c r="E3" s="159"/>
    </row>
    <row r="4" spans="3:5" ht="24" customHeight="1" x14ac:dyDescent="0.35">
      <c r="C4" s="103" t="s">
        <v>149</v>
      </c>
      <c r="D4" s="104" t="s">
        <v>150</v>
      </c>
      <c r="E4" s="105" t="s">
        <v>151</v>
      </c>
    </row>
    <row r="5" spans="3:5" ht="33" customHeight="1" x14ac:dyDescent="0.35">
      <c r="C5" s="100" t="s">
        <v>152</v>
      </c>
      <c r="D5" s="92">
        <v>18426000000</v>
      </c>
      <c r="E5" s="101">
        <v>2026</v>
      </c>
    </row>
    <row r="6" spans="3:5" ht="31.5" customHeight="1" x14ac:dyDescent="0.35">
      <c r="C6" s="97" t="s">
        <v>153</v>
      </c>
      <c r="D6" s="91">
        <v>137640000</v>
      </c>
      <c r="E6" s="98">
        <v>2026</v>
      </c>
    </row>
    <row r="7" spans="3:5" ht="48.5" customHeight="1" x14ac:dyDescent="0.35">
      <c r="C7" s="97" t="s">
        <v>154</v>
      </c>
      <c r="D7" s="91">
        <v>1533871704</v>
      </c>
      <c r="E7" s="98">
        <v>2026</v>
      </c>
    </row>
    <row r="8" spans="3:5" ht="21.5" customHeight="1" x14ac:dyDescent="0.35">
      <c r="C8" s="97" t="s">
        <v>155</v>
      </c>
      <c r="D8" s="91">
        <v>4187193282</v>
      </c>
      <c r="E8" s="98"/>
    </row>
    <row r="9" spans="3:5" ht="64.5" customHeight="1" x14ac:dyDescent="0.35">
      <c r="C9" s="97" t="s">
        <v>156</v>
      </c>
      <c r="D9" s="91">
        <v>375180000</v>
      </c>
      <c r="E9" s="98">
        <v>2026</v>
      </c>
    </row>
    <row r="10" spans="3:5" ht="41" customHeight="1" thickBot="1" x14ac:dyDescent="0.4">
      <c r="C10" s="102" t="s">
        <v>157</v>
      </c>
      <c r="D10" s="93">
        <v>968601052</v>
      </c>
      <c r="E10" s="99">
        <v>2026</v>
      </c>
    </row>
    <row r="11" spans="3:5" ht="15" customHeight="1" thickBot="1" x14ac:dyDescent="0.4">
      <c r="C11" s="94" t="s">
        <v>118</v>
      </c>
      <c r="D11" s="95">
        <f>SUM(D5:D10)</f>
        <v>25628486038</v>
      </c>
      <c r="E11" s="96"/>
    </row>
  </sheetData>
  <mergeCells count="1">
    <mergeCell ref="C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2"/>
  <sheetViews>
    <sheetView workbookViewId="0">
      <selection activeCell="G11" sqref="G11"/>
    </sheetView>
  </sheetViews>
  <sheetFormatPr defaultRowHeight="14.5" x14ac:dyDescent="0.35"/>
  <sheetData>
    <row r="2" spans="1:9" s="110" customFormat="1" x14ac:dyDescent="0.35">
      <c r="A2" s="109" t="s">
        <v>158</v>
      </c>
      <c r="B2" s="160" t="s">
        <v>159</v>
      </c>
      <c r="C2" s="161"/>
      <c r="D2" s="161"/>
      <c r="E2" s="161"/>
      <c r="F2" s="161"/>
      <c r="G2" s="161"/>
      <c r="H2" s="161"/>
      <c r="I2" s="161"/>
    </row>
    <row r="3" spans="1:9" x14ac:dyDescent="0.35">
      <c r="B3" t="s">
        <v>160</v>
      </c>
    </row>
    <row r="4" spans="1:9" x14ac:dyDescent="0.35">
      <c r="B4" t="s">
        <v>161</v>
      </c>
    </row>
    <row r="5" spans="1:9" x14ac:dyDescent="0.35">
      <c r="B5" t="s">
        <v>162</v>
      </c>
    </row>
    <row r="7" spans="1:9" s="110" customFormat="1" x14ac:dyDescent="0.35">
      <c r="A7" s="110" t="s">
        <v>163</v>
      </c>
      <c r="B7" s="110" t="s">
        <v>164</v>
      </c>
    </row>
    <row r="8" spans="1:9" x14ac:dyDescent="0.35">
      <c r="B8" t="s">
        <v>165</v>
      </c>
    </row>
    <row r="9" spans="1:9" x14ac:dyDescent="0.35">
      <c r="B9" t="s">
        <v>166</v>
      </c>
    </row>
    <row r="11" spans="1:9" s="110" customFormat="1" x14ac:dyDescent="0.35">
      <c r="A11" s="110" t="s">
        <v>167</v>
      </c>
      <c r="B11" s="110" t="s">
        <v>168</v>
      </c>
    </row>
    <row r="12" spans="1:9" x14ac:dyDescent="0.35">
      <c r="B12" t="s">
        <v>169</v>
      </c>
    </row>
  </sheetData>
  <mergeCells count="1">
    <mergeCell ref="B2:I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Monitoring</vt:lpstr>
      <vt:lpstr>PENCAPAIAN</vt:lpstr>
      <vt:lpstr>Monitoring Akumulatif </vt:lpstr>
      <vt:lpstr>Grafik akumulatif</vt:lpstr>
      <vt:lpstr>POTENSI 2025 DAN 2026</vt:lpstr>
      <vt:lpstr>PENAGIHAN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VEBRIAN ILHAM Z</dc:creator>
  <cp:lastModifiedBy>RizkiLidia@outlook.com</cp:lastModifiedBy>
  <cp:lastPrinted>2026-07-27T07:24:25Z</cp:lastPrinted>
  <dcterms:created xsi:type="dcterms:W3CDTF">2024-09-02T03:00:41Z</dcterms:created>
  <dcterms:modified xsi:type="dcterms:W3CDTF">2026-09-22T05:47:14Z</dcterms:modified>
</cp:coreProperties>
</file>